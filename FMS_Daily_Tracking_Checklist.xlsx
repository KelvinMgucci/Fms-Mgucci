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Overview" sheetId="1" state="visible" r:id="rId3"/>
    <sheet name="🔵 Ivan" sheetId="2" state="visible" r:id="rId4"/>
    <sheet name="🟢 Kelvin" sheetId="3" state="visible" r:id="rId5"/>
  </sheets>
  <definedNames>
    <definedName function="false" hidden="true" localSheetId="1" name="_xlnm._FilterDatabase" vbProcedure="false">'🔵 Ivan'!$A$3:$F$3</definedName>
    <definedName function="false" hidden="true" localSheetId="2" name="_xlnm._FilterDatabase" vbProcedure="false">'🟢 Kelvin'!$A$3:$F$3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<sst xmlns="http://schemas.openxmlformats.org/spreadsheetml/2006/main" count="387" uniqueCount="183">
  <si>
    <t xml:space="preserve">FMS Project Tracking — Overview</t>
  </si>
  <si>
    <t xml:space="preserve">Contract: SMS-FMS-2026-001  |  Team: Ivan &amp; Kelvin  |  3 Weeks Part-Time  |  June 2026</t>
  </si>
  <si>
    <t xml:space="preserve">Metric</t>
  </si>
  <si>
    <t xml:space="preserve">Ivan</t>
  </si>
  <si>
    <t xml:space="preserve">Kelvin</t>
  </si>
  <si>
    <t xml:space="preserve">Combined</t>
  </si>
  <si>
    <t xml:space="preserve">Total tasks</t>
  </si>
  <si>
    <t xml:space="preserve">Total est. hours</t>
  </si>
  <si>
    <t xml:space="preserve">~70.5hrs</t>
  </si>
  <si>
    <t xml:space="preserve">~68hrs</t>
  </si>
  <si>
    <t xml:space="preserve">~138.5hrs</t>
  </si>
  <si>
    <t xml:space="preserve">Week 1 tasks</t>
  </si>
  <si>
    <t xml:space="preserve">Week 2 tasks</t>
  </si>
  <si>
    <t xml:space="preserve">Week 3 tasks</t>
  </si>
  <si>
    <t xml:space="preserve">API contracts (shared)</t>
  </si>
  <si>
    <t xml:space="preserve">11 checkpoints</t>
  </si>
  <si>
    <t xml:space="preserve">Must agree before coding</t>
  </si>
  <si>
    <t xml:space="preserve">Deployment lead</t>
  </si>
  <si>
    <t xml:space="preserve">Supports</t>
  </si>
  <si>
    <t xml:space="preserve">Week 3</t>
  </si>
  <si>
    <t xml:space="preserve">Mobile portal</t>
  </si>
  <si>
    <t xml:space="preserve">Backend only</t>
  </si>
  <si>
    <t xml:space="preserve">Full UI</t>
  </si>
  <si>
    <t xml:space="preserve">Head Technician portal</t>
  </si>
  <si>
    <t xml:space="preserve">Status Legend</t>
  </si>
  <si>
    <t xml:space="preserve">✅ Done</t>
  </si>
  <si>
    <t xml:space="preserve">Task completed and deliverable working</t>
  </si>
  <si>
    <t xml:space="preserve">🔄 In Progress</t>
  </si>
  <si>
    <t xml:space="preserve">Currently being worked on</t>
  </si>
  <si>
    <t xml:space="preserve">⏭ Deferred</t>
  </si>
  <si>
    <t xml:space="preserve">Pushed to version update (log reason in Notes)</t>
  </si>
  <si>
    <t xml:space="preserve">❌ Blocked</t>
  </si>
  <si>
    <t xml:space="preserve">Blocked — log the blocker in Notes and tell your partner</t>
  </si>
  <si>
    <t xml:space="preserve">FMS Daily Tracking Checklist — Ivan  |  3-Week Part-Time Plan  |  SMS-FMS-2026-001</t>
  </si>
  <si>
    <t xml:space="preserve">Status options: ✅ Done  |  🔄 In Progress  |  ⏭ Deferred  |  ❌ Blocked     Update the Status column daily. Add notes in the Notes column for blockers or context.</t>
  </si>
  <si>
    <t xml:space="preserve">Day</t>
  </si>
  <si>
    <t xml:space="preserve">Session</t>
  </si>
  <si>
    <t xml:space="preserve">Deliverable / Task</t>
  </si>
  <si>
    <t xml:space="preserve">Hrs</t>
  </si>
  <si>
    <t xml:space="preserve">Status</t>
  </si>
  <si>
    <t xml:space="preserve">Notes</t>
  </si>
  <si>
    <t xml:space="preserve">  WEEK 1 — Foundation, Orders &amp; Auth</t>
  </si>
  <si>
    <t xml:space="preserve">    Weekend 1 · Day 1</t>
  </si>
  <si>
    <t xml:space="preserve">Weekend 1 · Day 1</t>
  </si>
  <si>
    <t xml:space="preserve">Morning</t>
  </si>
  <si>
    <t xml:space="preserve">Contabo VPS: Ubuntu 22.04 installed, SSH access confirmed, firewall rules set</t>
  </si>
  <si>
    <t xml:space="preserve">Nginx + PostgreSQL + Redis installed and running as services</t>
  </si>
  <si>
    <t xml:space="preserve">Afternoon</t>
  </si>
  <si>
    <t xml:space="preserve">Django project created: apps scaffold (users, orders, production, stock, shop, notifications, reports, branches)</t>
  </si>
  <si>
    <t xml:space="preserve">Settings: .env config, CORS, JWT (simplejwt), Celery, Django Channels ASGI all wired up</t>
  </si>
  <si>
    <t xml:space="preserve">    Weekend 1 · Day 2</t>
  </si>
  <si>
    <t xml:space="preserve">Weekend 1 · Day 2</t>
  </si>
  <si>
    <t xml:space="preserve">Daphne ASGI server replaces Gunicorn — confirmed working with test endpoint</t>
  </si>
  <si>
    <t xml:space="preserve">JWT auth endpoints live: POST /api/auth/token/ + /api/auth/token/refresh/ — tested in Postman</t>
  </si>
  <si>
    <t xml:space="preserve">API CONTRACT AGREED with Kelvin: /api/auth/token/ request/response shape, JWT payload fields (role, branch_id)</t>
  </si>
  <si>
    <t xml:space="preserve">API CONTRACT AGREED with Kelvin: /api/orders/ POST fields, image upload multipart format, error shape</t>
  </si>
  <si>
    <t xml:space="preserve">    Weekday Eve · Day 3</t>
  </si>
  <si>
    <t xml:space="preserve">Weekday Eve · Day 3</t>
  </si>
  <si>
    <t xml:space="preserve">Evening</t>
  </si>
  <si>
    <t xml:space="preserve">Order create API: POST /api/orders/ — validated, branch-scoped, returns 201 with order ref</t>
  </si>
  <si>
    <t xml:space="preserve">    Weekday Eve · Day 4</t>
  </si>
  <si>
    <t xml:space="preserve">Weekday Eve · Day 4</t>
  </si>
  <si>
    <t xml:space="preserve">Image upload endpoint: POST /api/orders/{id}/images/ — type/size validation (JPG/PNG, max 5MB)</t>
  </si>
  <si>
    <t xml:space="preserve">    Weekday Eve · Day 5</t>
  </si>
  <si>
    <t xml:space="preserve">Weekday Eve · Day 5</t>
  </si>
  <si>
    <t xml:space="preserve">Order list API: GET /api/orders/ — branch-scoped, status filter, pagination working</t>
  </si>
  <si>
    <t xml:space="preserve">    Weekday Eve · Day 6</t>
  </si>
  <si>
    <t xml:space="preserve">Weekday Eve · Day 6</t>
  </si>
  <si>
    <t xml:space="preserve">Order detail + dispatch API: PATCH /api/orders/{id}/ — status transitions, dispatch blocks if stages not DONE</t>
  </si>
  <si>
    <t xml:space="preserve">    Weekday Eve · Day 7</t>
  </si>
  <si>
    <t xml:space="preserve">Weekday Eve · Day 7</t>
  </si>
  <si>
    <t xml:space="preserve">Price confirm API: PATCH /api/orders/{id}/confirm-price/ — Director-only permission, order → OPS_QUEUE transition</t>
  </si>
  <si>
    <t xml:space="preserve">  WEEK 2 — Workshop, Stock, SMS &amp; Shop</t>
  </si>
  <si>
    <t xml:space="preserve">    Weekend 2 · Day 8</t>
  </si>
  <si>
    <t xml:space="preserve">Weekend 2 · Day 8</t>
  </si>
  <si>
    <t xml:space="preserve">API CONTRACT AGREED with Kelvin: /api/production/stages/ shape, DONE endpoint response, material request body</t>
  </si>
  <si>
    <t xml:space="preserve">Stage assignment API: POST /api/production/stages/ — creates stages with sequence, technician FK, PENDING status</t>
  </si>
  <si>
    <t xml:space="preserve">Stage DONE endpoint: POST /api/production/stages/{id}/done/ — auto-activates next stage, updates order status</t>
  </si>
  <si>
    <t xml:space="preserve">    Weekend 2 · Day 9</t>
  </si>
  <si>
    <t xml:space="preserve">Weekend 2 · Day 9</t>
  </si>
  <si>
    <t xml:space="preserve">API CONTRACT AGREED with Kelvin: /api/stock/inventory/ ledger shape, issuance confirm body</t>
  </si>
  <si>
    <t xml:space="preserve">Material request API: POST /api/stock/requests/ — submit, PATCH approve/reject with reason, ISSUED state</t>
  </si>
  <si>
    <t xml:space="preserve">Inventory API: GET/POST/PATCH /api/stock/inventory/ — ledger CRUD, quantity tracking</t>
  </si>
  <si>
    <t xml:space="preserve">Issuance API: POST /api/stock/issuances/ — initial + additional issue, low-stock threshold alert trigger</t>
  </si>
  <si>
    <t xml:space="preserve">    Weekday Eve · Day 10</t>
  </si>
  <si>
    <t xml:space="preserve">Weekday Eve · Day 10</t>
  </si>
  <si>
    <t xml:space="preserve">API CONTRACT AGREED with Kelvin: /api/auth/pin/ body + JWT scope, technician work queue response fields</t>
  </si>
  <si>
    <t xml:space="preserve">Technician PIN auth: hashed PIN model, POST /api/auth/pin/ — returns limited-scope JWT for technician endpoints</t>
  </si>
  <si>
    <t xml:space="preserve">    Weekday Eve · Day 11</t>
  </si>
  <si>
    <t xml:space="preserve">Weekday Eve · Day 11</t>
  </si>
  <si>
    <t xml:space="preserve">Celery task: bulk SMS on order entry — all assigned technicians receive PENDING notification</t>
  </si>
  <si>
    <t xml:space="preserve">    Weekday Eve · Day 12</t>
  </si>
  <si>
    <t xml:space="preserve">Weekday Eve · Day 12</t>
  </si>
  <si>
    <t xml:space="preserve">Celery task: individual SMS on stage ACTIVE — single technician notification + SMSLog model + failure alert</t>
  </si>
  <si>
    <t xml:space="preserve">    Weekend 3 · Day 13</t>
  </si>
  <si>
    <t xml:space="preserve">Weekend 3 · Day 13</t>
  </si>
  <si>
    <t xml:space="preserve">API CONTRACT AGREED with Kelvin: /api/shop/items/ full shape, status enum values, SKU format</t>
  </si>
  <si>
    <t xml:space="preserve">Shop item API: GET/POST/PATCH /api/shop/items/ — CRUD, SKU validation, all 5 status values</t>
  </si>
  <si>
    <t xml:space="preserve">Set-breaking API: POST /api/shop/sets/{id}/break/ — Director-only, component re-pricing endpoint</t>
  </si>
  <si>
    <t xml:space="preserve">Reservation + sales API: create reservation, finalise to sale, expiry flagging, SOLD transition</t>
  </si>
  <si>
    <t xml:space="preserve">    Weekend 3 · Day 14</t>
  </si>
  <si>
    <t xml:space="preserve">Weekend 3 · Day 14</t>
  </si>
  <si>
    <t xml:space="preserve">Inter-branch transfer API: request, Director approval, inventory reassignment across branches</t>
  </si>
  <si>
    <t xml:space="preserve">API CONTRACT AGREED with Kelvin: /api/reports/ filter params + response aggregation shape, WS event payloads</t>
  </si>
  <si>
    <t xml:space="preserve">Reporting APIs: /api/reports/costs/, /payroll/, /sales/, slow-moving stock — all with branch + date filters</t>
  </si>
  <si>
    <t xml:space="preserve">WebSocket consumers: order update channel + stage update channel — event payloads defined and tested</t>
  </si>
  <si>
    <t xml:space="preserve">  WEEK 3 — Integration, Testing &amp; Deployment</t>
  </si>
  <si>
    <t xml:space="preserve">    Weekend 4 · Day 15</t>
  </si>
  <si>
    <t xml:space="preserve">Weekend 4 · Day 15</t>
  </si>
  <si>
    <t xml:space="preserve">End-to-end order flow test with Kelvin: Front Desk create → Director approve → Ops assign (TC-F-001–015, TC-D-001–010)</t>
  </si>
  <si>
    <t xml:space="preserve">Workshop pipeline test with Kelvin: stage chain, SMS delivery, DONE → auto-activate (TC-O-001–013, TC-SMS-001–003)</t>
  </si>
  <si>
    <t xml:space="preserve">    Weekend 4 · Day 16</t>
  </si>
  <si>
    <t xml:space="preserve">Weekend 4 · Day 16</t>
  </si>
  <si>
    <t xml:space="preserve">Shop + stock flow test with Kelvin: sales, reservations, set-breaking, transfers, issuance (TC-SH-001–020, TC-S-001–011)</t>
  </si>
  <si>
    <t xml:space="preserve">Role access control audit: every role limited to correct endpoints — TC-AUTH-001–004, TC-R-009–011 all passing</t>
  </si>
  <si>
    <t xml:space="preserve">    Weekday Eve · Day 17</t>
  </si>
  <si>
    <t xml:space="preserve">Weekday Eve · Day 17</t>
  </si>
  <si>
    <t xml:space="preserve">Backend bug fixes from Weekend 4 testing — all identified issues resolved</t>
  </si>
  <si>
    <t xml:space="preserve">    Weekday Eve · Day 18</t>
  </si>
  <si>
    <t xml:space="preserve">Weekday Eve · Day 18</t>
  </si>
  <si>
    <t xml:space="preserve">PostgreSQL indexes added: branch_id, status, technician FK, SKU — query performance verified</t>
  </si>
  <si>
    <t xml:space="preserve">Reporting data accuracy check: margins, payroll totals, branch sales figures all verified correct</t>
  </si>
  <si>
    <t xml:space="preserve">    Weekday Eve · Day 19</t>
  </si>
  <si>
    <t xml:space="preserve">Weekday Eve · Day 19</t>
  </si>
  <si>
    <t xml:space="preserve">Remaining backend bug fixes — nothing unresolved going into deployment weekend</t>
  </si>
  <si>
    <t xml:space="preserve">    Weekend 5 · Day 20</t>
  </si>
  <si>
    <t xml:space="preserve">Weekend 5 · Day 20</t>
  </si>
  <si>
    <t xml:space="preserve">Nginx production config: reverse proxy, static/media file serving, HTTP → HTTPS redirect</t>
  </si>
  <si>
    <t xml:space="preserve">SSL certificate: Certbot Let's Encrypt installed, HTTPS confirmed live on domain</t>
  </si>
  <si>
    <t xml:space="preserve">Systemd services: Daphne + Celery worker running as auto-restart services — confirmed with systemctl status</t>
  </si>
  <si>
    <t xml:space="preserve">Environment hardening: SECRET_KEY, DB creds, SMS API key in .env, DEBUG=False confirmed</t>
  </si>
  <si>
    <t xml:space="preserve">    Weekend 5 · Day 21</t>
  </si>
  <si>
    <t xml:space="preserve">Weekend 5 · Day 21</t>
  </si>
  <si>
    <t xml:space="preserve">Automated DB backup: nightly pg_dump cron job, 14-day retention — test restore verified</t>
  </si>
  <si>
    <t xml:space="preserve">Smoke test on live server with Kelvin: all 5 roles log in, full order flow from front desk to dispatch</t>
  </si>
  <si>
    <t xml:space="preserve">Fix any deployment-environment issues: CORS, static files, WebSocket connections on live server</t>
  </si>
  <si>
    <t xml:space="preserve">System confirmed live — all modules operational, client handover checklist completed</t>
  </si>
  <si>
    <t xml:space="preserve">PROGRESS SUMMARY</t>
  </si>
  <si>
    <t xml:space="preserve">Formula</t>
  </si>
  <si>
    <t xml:space="preserve">% Complete</t>
  </si>
  <si>
    <t xml:space="preserve">FMS Daily Tracking Checklist — Kelvin  |  3-Week Part-Time Plan  |  SMS-FMS-2026-001</t>
  </si>
  <si>
    <t xml:space="preserve">PostgreSQL schema: Branch model + User model with role enum (5 roles) and branch FK — migration applied</t>
  </si>
  <si>
    <t xml:space="preserve">React project created with Vite: React Router v6, Axios, React Query installed and configured</t>
  </si>
  <si>
    <t xml:space="preserve">Role-based routing structure: 5 role portals scaffolded with protected routes and role guard HOC</t>
  </si>
  <si>
    <t xml:space="preserve">Login screen UI: name/password form, role-based redirect on JWT decode, error states handled</t>
  </si>
  <si>
    <t xml:space="preserve">Axios interceptor: JWT attached to all requests, 401 triggers silent token refresh</t>
  </si>
  <si>
    <t xml:space="preserve">API CONTRACT AGREED with Ivan: /api/auth/token/ shape, /api/orders/ POST fields, error response format</t>
  </si>
  <si>
    <t xml:space="preserve">Order model + OrderImage model migrations — confirmed with Ivan before applying</t>
  </si>
  <si>
    <t xml:space="preserve">Front Desk portal: order creation form — all fields, image upload component, validation messages</t>
  </si>
  <si>
    <t xml:space="preserve">Front Desk portal: branch order dashboard — order list, status badges, delivery date display</t>
  </si>
  <si>
    <t xml:space="preserve">Front Desk portal: status filter on dashboard, overdue order visual flag, dispatch button with guard</t>
  </si>
  <si>
    <t xml:space="preserve">Director portal: price approval queue — order list with image thumbnails, full-size image viewer</t>
  </si>
  <si>
    <t xml:space="preserve">Director portal: price confirm form — price input, confirm action, validation, released-to-ops confirmation</t>
  </si>
  <si>
    <t xml:space="preserve">API CONTRACT AGREED with Ivan: stage create body, stage list response, DONE endpoint, material request body</t>
  </si>
  <si>
    <t xml:space="preserve">ProductionStage + MaterialEstimate + MaterialRequest models and migrations — reviewed with Ivan</t>
  </si>
  <si>
    <t xml:space="preserve">Ops Manager portal: stage assignment panel — add stages, name, assign technician, set sequence, material estimates</t>
  </si>
  <si>
    <t xml:space="preserve">API CONTRACT AGREED with Ivan: /api/stock/inventory/ shape, issuance confirm body</t>
  </si>
  <si>
    <t xml:space="preserve">Ops Manager portal: live pipeline dashboard connected to WebSocket — stage status updates in real time</t>
  </si>
  <si>
    <t xml:space="preserve">Ops Manager portal: material request approval queue — approve/reject with reason, confirmation states</t>
  </si>
  <si>
    <t xml:space="preserve">InventoryItem + Issuance models and migrations — reviewed with Ivan</t>
  </si>
  <si>
    <t xml:space="preserve">API CONTRACT AGREED with Ivan: /api/auth/pin/ response, technician work queue fields for mobile UI</t>
  </si>
  <si>
    <t xml:space="preserve">Mobile portal: PIN login screen — name + PIN fields, touch-optimised, responsive layout on mobile viewport</t>
  </si>
  <si>
    <t xml:space="preserve">Mobile portal: work queue — PENDING/ACTIVE stage cards, DONE button (disabled for PENDING), timestamps</t>
  </si>
  <si>
    <t xml:space="preserve">Mobile portal: material request form + weekly earnings summary — submitted state, approved/rejected feedback</t>
  </si>
  <si>
    <t xml:space="preserve">API CONTRACT AGREED with Ivan: /api/shop/items/ full shape, status enum, SKU format, /api/reports/ shape</t>
  </si>
  <si>
    <t xml:space="preserve">ShowroomItem + Reservation + Sale + BranchTransferRequest models and migrations — reviewed with Ivan</t>
  </si>
  <si>
    <t xml:space="preserve">Front Desk portal: showroom inventory view — branch-scoped item list, status badges, SKU search</t>
  </si>
  <si>
    <t xml:space="preserve">Front Desk portal: sales recording UI + reservation creation form with deposit field</t>
  </si>
  <si>
    <t xml:space="preserve">Stock Keeper portal: inventory ledger, issuance queue, low-stock alerts, full order issuance history</t>
  </si>
  <si>
    <t xml:space="preserve">Director portal: set-breaking authorisation UI + component re-pricing form</t>
  </si>
  <si>
    <t xml:space="preserve">Director portal: inter-branch transfer approval UI + full reporting dashboard (cross-branch, filterable)</t>
  </si>
  <si>
    <t xml:space="preserve">End-to-end order flow test with Ivan: Front Desk create → Director approve → Ops assign (TC-F-001–015, TC-D-001–010)</t>
  </si>
  <si>
    <t xml:space="preserve">Workshop pipeline test with Ivan: stage chain, SMS notifications, DONE flow (TC-O-001–013, TC-T-001–012)</t>
  </si>
  <si>
    <t xml:space="preserve">Mobile portal cross-device test: Android Chrome + iOS Safari — layout, touch, PIN login, DONE button</t>
  </si>
  <si>
    <t xml:space="preserve">Shop + stock test with Ivan: sales, reservations, set-breaking, transfers (TC-SH-001–020, TC-S-001–011)</t>
  </si>
  <si>
    <t xml:space="preserve">Frontend bug fixes from Weekend 4 testing — all identified UI issues resolved</t>
  </si>
  <si>
    <t xml:space="preserve">Reporting dashboard accuracy check: verify correct figures display for costs, payroll, sales by branch</t>
  </si>
  <si>
    <t xml:space="preserve">Vite production build: output bundle verified, env vars set, static file paths confirmed for Nginx</t>
  </si>
  <si>
    <t xml:space="preserve">Remaining frontend bug fixes — nothing broken going into deployment weekend</t>
  </si>
  <si>
    <t xml:space="preserve">Smoke test support: test all 5 portal UIs on live server — fix any broken routes, missing assets, WS issues</t>
  </si>
  <si>
    <t xml:space="preserve">Fix deployment-environment frontend issues: CORS errors, broken static paths, WebSocket connection on live URL</t>
  </si>
  <si>
    <t xml:space="preserve">Final UI pass on live server: all portals responsive, all dashboards loading real data correctly</t>
  </si>
  <si>
    <t xml:space="preserve">System confirmed live — all 5 portals working on Contabo URL, mobile portal tested on real device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</si>
</sst>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1A5C3A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B5800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7B58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1F4E79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7B58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75623"/>
      <name val="Arial"/>
      <family val="0"/>
      <charset val="1"/>
    </font>
    <font>
      <sz val="9"/>
      <color rgb="FF1A5C3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A5C3A"/>
      </patternFill>
    </fill>
    <fill>
      <patternFill patternType="solid">
        <fgColor rgb="FFF2F2F2"/>
        <bgColor rgb="FFEAF7F0"/>
      </patternFill>
    </fill>
    <fill>
      <patternFill patternType="solid">
        <fgColor rgb="FFD6E4F0"/>
        <bgColor rgb="FFE2EFDA"/>
      </patternFill>
    </fill>
    <fill>
      <patternFill patternType="solid">
        <fgColor rgb="FFE8F4FD"/>
        <bgColor rgb="FFEAF7F0"/>
      </patternFill>
    </fill>
    <fill>
      <patternFill patternType="solid">
        <fgColor rgb="FFEAF7F0"/>
        <bgColor rgb="FFE8F4FD"/>
      </patternFill>
    </fill>
    <fill>
      <patternFill patternType="solid">
        <fgColor rgb="FFFFFFFF"/>
        <bgColor rgb="FFFFF8E7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AF7F0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8E7"/>
      </patternFill>
    </fill>
    <fill>
      <patternFill patternType="solid">
        <fgColor rgb="FFFFF8E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4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A"/>
      <rgbColor rgb="FF000080"/>
      <rgbColor rgb="FF7B5800"/>
      <rgbColor rgb="FF800080"/>
      <rgbColor rgb="FF008080"/>
      <rgbColor rgb="FFBBBBBB"/>
      <rgbColor rgb="FF888888"/>
      <rgbColor rgb="FF9999FF"/>
      <rgbColor rgb="FF555555"/>
      <rgbColor rgb="FFFFF2CC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F0"/>
      <rgbColor rgb="FFE2EFDA"/>
      <rgbColor rgb="FFFFEB9C"/>
      <rgbColor rgb="FFF2F2F2"/>
      <rgbColor rgb="FFFFF8E7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75623"/>
      <rgbColor rgb="FF843C0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4" t="s">
        <v>3</v>
      </c>
      <c r="C4" s="5" t="s">
        <v>4</v>
      </c>
      <c r="D4" s="3" t="s">
        <v>5</v>
      </c>
    </row>
    <row r="5" customFormat="false" ht="18" hidden="false" customHeight="true" outlineLevel="0" collapsed="false">
      <c r="A5" s="6" t="s">
        <v>6</v>
      </c>
      <c r="B5" s="7" t="n">
        <v>48</v>
      </c>
      <c r="C5" s="8" t="n">
        <v>42</v>
      </c>
      <c r="D5" s="9" t="n">
        <v>90</v>
      </c>
    </row>
    <row r="6" customFormat="false" ht="18" hidden="false" customHeight="true" outlineLevel="0" collapsed="false">
      <c r="A6" s="10" t="s">
        <v>7</v>
      </c>
      <c r="B6" s="7" t="s">
        <v>8</v>
      </c>
      <c r="C6" s="8" t="s">
        <v>9</v>
      </c>
      <c r="D6" s="11" t="s">
        <v>10</v>
      </c>
    </row>
    <row r="7" customFormat="false" ht="18" hidden="false" customHeight="true" outlineLevel="0" collapsed="false">
      <c r="A7" s="6" t="s">
        <v>11</v>
      </c>
      <c r="B7" s="7" t="n">
        <v>13</v>
      </c>
      <c r="C7" s="8" t="n">
        <v>12</v>
      </c>
      <c r="D7" s="9"/>
    </row>
    <row r="8" customFormat="false" ht="18" hidden="false" customHeight="true" outlineLevel="0" collapsed="false">
      <c r="A8" s="10" t="s">
        <v>12</v>
      </c>
      <c r="B8" s="7" t="n">
        <v>19</v>
      </c>
      <c r="C8" s="8" t="n">
        <v>18</v>
      </c>
      <c r="D8" s="11"/>
    </row>
    <row r="9" customFormat="false" ht="18" hidden="false" customHeight="true" outlineLevel="0" collapsed="false">
      <c r="A9" s="6" t="s">
        <v>13</v>
      </c>
      <c r="B9" s="7" t="n">
        <v>16</v>
      </c>
      <c r="C9" s="8" t="n">
        <v>12</v>
      </c>
      <c r="D9" s="9"/>
    </row>
    <row r="10" customFormat="false" ht="18" hidden="false" customHeight="true" outlineLevel="0" collapsed="false">
      <c r="A10" s="10" t="s">
        <v>14</v>
      </c>
      <c r="B10" s="7" t="s">
        <v>15</v>
      </c>
      <c r="C10" s="8" t="s">
        <v>15</v>
      </c>
      <c r="D10" s="11" t="s">
        <v>16</v>
      </c>
    </row>
    <row r="11" customFormat="false" ht="18" hidden="false" customHeight="true" outlineLevel="0" collapsed="false">
      <c r="A11" s="6" t="s">
        <v>17</v>
      </c>
      <c r="B11" s="7" t="s">
        <v>3</v>
      </c>
      <c r="C11" s="8" t="s">
        <v>18</v>
      </c>
      <c r="D11" s="9" t="s">
        <v>19</v>
      </c>
    </row>
    <row r="12" customFormat="false" ht="18" hidden="false" customHeight="true" outlineLevel="0" collapsed="false">
      <c r="A12" s="10" t="s">
        <v>20</v>
      </c>
      <c r="B12" s="7" t="s">
        <v>21</v>
      </c>
      <c r="C12" s="8" t="s">
        <v>22</v>
      </c>
      <c r="D12" s="11" t="s">
        <v>23</v>
      </c>
    </row>
    <row r="15" customFormat="false" ht="18" hidden="false" customHeight="true" outlineLevel="0" collapsed="false">
      <c r="A15" s="12" t="s">
        <v>24</v>
      </c>
      <c r="B15" s="12"/>
      <c r="C15" s="12"/>
      <c r="D15" s="12"/>
    </row>
    <row r="16" customFormat="false" ht="15.75" hidden="false" customHeight="true" outlineLevel="0" collapsed="false">
      <c r="A16" s="13" t="s">
        <v>25</v>
      </c>
      <c r="B16" s="14" t="s">
        <v>26</v>
      </c>
      <c r="C16" s="14"/>
      <c r="D16" s="14"/>
    </row>
    <row r="17" customFormat="false" ht="15.75" hidden="false" customHeight="true" outlineLevel="0" collapsed="false">
      <c r="A17" s="15" t="s">
        <v>27</v>
      </c>
      <c r="B17" s="16" t="s">
        <v>28</v>
      </c>
      <c r="C17" s="16"/>
      <c r="D17" s="16"/>
    </row>
    <row r="18" customFormat="false" ht="15.75" hidden="false" customHeight="true" outlineLevel="0" collapsed="false">
      <c r="A18" s="17" t="s">
        <v>29</v>
      </c>
      <c r="B18" s="18" t="s">
        <v>30</v>
      </c>
      <c r="C18" s="18"/>
      <c r="D18" s="18"/>
    </row>
    <row r="19" customFormat="false" ht="15.75" hidden="false" customHeight="true" outlineLevel="0" collapsed="false">
      <c r="A19" s="19" t="s">
        <v>31</v>
      </c>
      <c r="B19" s="20" t="s">
        <v>32</v>
      </c>
      <c r="C19" s="20"/>
      <c r="D19" s="20"/>
    </row>
  </sheetData>
  <mergeCells count="7">
    <mergeCell ref="A1:D1"/>
    <mergeCell ref="A2:D2"/>
    <mergeCell ref="A15:D15"/>
    <mergeCell ref="B16:D16"/>
    <mergeCell ref="B17:D17"/>
    <mergeCell ref="B18:D18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25.5" hidden="false" customHeight="true" outlineLevel="0" collapsed="false">
      <c r="A1" s="21" t="s">
        <v>33</v>
      </c>
      <c r="B1" s="21"/>
      <c r="C1" s="21"/>
      <c r="D1" s="21"/>
      <c r="E1" s="21"/>
      <c r="F1" s="21"/>
    </row>
    <row r="2" customFormat="false" ht="18" hidden="false" customHeight="true" outlineLevel="0" collapsed="false">
      <c r="A2" s="22" t="s">
        <v>34</v>
      </c>
      <c r="B2" s="22"/>
      <c r="C2" s="22"/>
      <c r="D2" s="22"/>
      <c r="E2" s="22"/>
      <c r="F2" s="22"/>
    </row>
    <row r="3" customFormat="false" ht="19.5" hidden="false" customHeight="true" outlineLevel="0" collapsed="false">
      <c r="A3" s="23" t="s">
        <v>35</v>
      </c>
      <c r="B3" s="23" t="s">
        <v>36</v>
      </c>
      <c r="C3" s="23" t="s">
        <v>37</v>
      </c>
      <c r="D3" s="23" t="s">
        <v>38</v>
      </c>
      <c r="E3" s="23" t="s">
        <v>39</v>
      </c>
      <c r="F3" s="23" t="s">
        <v>40</v>
      </c>
    </row>
    <row r="4" customFormat="false" ht="21.75" hidden="false" customHeight="true" outlineLevel="0" collapsed="false">
      <c r="A4" s="24" t="s">
        <v>41</v>
      </c>
      <c r="B4" s="24"/>
      <c r="C4" s="24"/>
      <c r="D4" s="24"/>
      <c r="E4" s="24"/>
      <c r="F4" s="24"/>
    </row>
    <row r="5" customFormat="false" ht="18" hidden="false" customHeight="true" outlineLevel="0" collapsed="false">
      <c r="A5" s="25" t="s">
        <v>42</v>
      </c>
      <c r="B5" s="25"/>
      <c r="C5" s="25"/>
      <c r="D5" s="25"/>
      <c r="E5" s="25"/>
      <c r="F5" s="25"/>
    </row>
    <row r="6" customFormat="false" ht="42" hidden="false" customHeight="true" outlineLevel="0" collapsed="false">
      <c r="A6" s="26" t="s">
        <v>43</v>
      </c>
      <c r="B6" s="27" t="s">
        <v>44</v>
      </c>
      <c r="C6" s="28" t="s">
        <v>45</v>
      </c>
      <c r="D6" s="29" t="n">
        <v>1.5</v>
      </c>
      <c r="E6" s="30"/>
      <c r="F6" s="31"/>
    </row>
    <row r="7" customFormat="false" ht="42" hidden="false" customHeight="true" outlineLevel="0" collapsed="false">
      <c r="A7" s="32" t="s">
        <v>43</v>
      </c>
      <c r="B7" s="27" t="s">
        <v>44</v>
      </c>
      <c r="C7" s="31" t="s">
        <v>46</v>
      </c>
      <c r="D7" s="33" t="n">
        <v>1.5</v>
      </c>
      <c r="E7" s="30"/>
      <c r="F7" s="31"/>
    </row>
    <row r="8" customFormat="false" ht="42" hidden="false" customHeight="true" outlineLevel="0" collapsed="false">
      <c r="A8" s="26" t="s">
        <v>43</v>
      </c>
      <c r="B8" s="34" t="s">
        <v>47</v>
      </c>
      <c r="C8" s="28" t="s">
        <v>48</v>
      </c>
      <c r="D8" s="29" t="n">
        <v>2</v>
      </c>
      <c r="E8" s="30"/>
      <c r="F8" s="31"/>
    </row>
    <row r="9" customFormat="false" ht="42" hidden="false" customHeight="true" outlineLevel="0" collapsed="false">
      <c r="A9" s="32" t="s">
        <v>43</v>
      </c>
      <c r="B9" s="34" t="s">
        <v>47</v>
      </c>
      <c r="C9" s="31" t="s">
        <v>49</v>
      </c>
      <c r="D9" s="33" t="n">
        <v>2</v>
      </c>
      <c r="E9" s="30"/>
      <c r="F9" s="31"/>
    </row>
    <row r="10" customFormat="false" ht="18" hidden="false" customHeight="true" outlineLevel="0" collapsed="false">
      <c r="A10" s="25" t="s">
        <v>50</v>
      </c>
      <c r="B10" s="25"/>
      <c r="C10" s="25"/>
      <c r="D10" s="25"/>
      <c r="E10" s="25"/>
      <c r="F10" s="25"/>
    </row>
    <row r="11" customFormat="false" ht="42" hidden="false" customHeight="true" outlineLevel="0" collapsed="false">
      <c r="A11" s="32" t="s">
        <v>51</v>
      </c>
      <c r="B11" s="27" t="s">
        <v>44</v>
      </c>
      <c r="C11" s="31" t="s">
        <v>52</v>
      </c>
      <c r="D11" s="33" t="n">
        <v>1.5</v>
      </c>
      <c r="E11" s="30"/>
      <c r="F11" s="31"/>
    </row>
    <row r="12" customFormat="false" ht="42" hidden="false" customHeight="true" outlineLevel="0" collapsed="false">
      <c r="A12" s="26" t="s">
        <v>51</v>
      </c>
      <c r="B12" s="27" t="s">
        <v>44</v>
      </c>
      <c r="C12" s="28" t="s">
        <v>53</v>
      </c>
      <c r="D12" s="29" t="n">
        <v>2</v>
      </c>
      <c r="E12" s="30"/>
      <c r="F12" s="31"/>
    </row>
    <row r="13" customFormat="false" ht="42" hidden="false" customHeight="true" outlineLevel="0" collapsed="false">
      <c r="A13" s="32" t="s">
        <v>51</v>
      </c>
      <c r="B13" s="34" t="s">
        <v>47</v>
      </c>
      <c r="C13" s="35" t="s">
        <v>54</v>
      </c>
      <c r="D13" s="33" t="n">
        <v>0.5</v>
      </c>
      <c r="E13" s="30"/>
      <c r="F13" s="31"/>
    </row>
    <row r="14" customFormat="false" ht="42" hidden="false" customHeight="true" outlineLevel="0" collapsed="false">
      <c r="A14" s="26" t="s">
        <v>51</v>
      </c>
      <c r="B14" s="34" t="s">
        <v>47</v>
      </c>
      <c r="C14" s="35" t="s">
        <v>55</v>
      </c>
      <c r="D14" s="29" t="n">
        <v>0.5</v>
      </c>
      <c r="E14" s="30"/>
      <c r="F14" s="31"/>
    </row>
    <row r="15" customFormat="false" ht="18" hidden="false" customHeight="true" outlineLevel="0" collapsed="false">
      <c r="A15" s="25" t="s">
        <v>56</v>
      </c>
      <c r="B15" s="25"/>
      <c r="C15" s="25"/>
      <c r="D15" s="25"/>
      <c r="E15" s="25"/>
      <c r="F15" s="25"/>
    </row>
    <row r="16" customFormat="false" ht="42" hidden="false" customHeight="true" outlineLevel="0" collapsed="false">
      <c r="A16" s="26" t="s">
        <v>57</v>
      </c>
      <c r="B16" s="27" t="s">
        <v>58</v>
      </c>
      <c r="C16" s="28" t="s">
        <v>59</v>
      </c>
      <c r="D16" s="29" t="n">
        <v>2.5</v>
      </c>
      <c r="E16" s="30"/>
      <c r="F16" s="31"/>
    </row>
    <row r="17" customFormat="false" ht="18" hidden="false" customHeight="true" outlineLevel="0" collapsed="false">
      <c r="A17" s="25" t="s">
        <v>60</v>
      </c>
      <c r="B17" s="25"/>
      <c r="C17" s="25"/>
      <c r="D17" s="25"/>
      <c r="E17" s="25"/>
      <c r="F17" s="25"/>
    </row>
    <row r="18" customFormat="false" ht="42" hidden="false" customHeight="true" outlineLevel="0" collapsed="false">
      <c r="A18" s="26" t="s">
        <v>61</v>
      </c>
      <c r="B18" s="27" t="s">
        <v>58</v>
      </c>
      <c r="C18" s="28" t="s">
        <v>62</v>
      </c>
      <c r="D18" s="29" t="n">
        <v>2.5</v>
      </c>
      <c r="E18" s="30"/>
      <c r="F18" s="31"/>
    </row>
    <row r="19" customFormat="false" ht="18" hidden="false" customHeight="true" outlineLevel="0" collapsed="false">
      <c r="A19" s="25" t="s">
        <v>63</v>
      </c>
      <c r="B19" s="25"/>
      <c r="C19" s="25"/>
      <c r="D19" s="25"/>
      <c r="E19" s="25"/>
      <c r="F19" s="25"/>
    </row>
    <row r="20" customFormat="false" ht="42" hidden="false" customHeight="true" outlineLevel="0" collapsed="false">
      <c r="A20" s="26" t="s">
        <v>64</v>
      </c>
      <c r="B20" s="27" t="s">
        <v>58</v>
      </c>
      <c r="C20" s="28" t="s">
        <v>65</v>
      </c>
      <c r="D20" s="29" t="n">
        <v>2.5</v>
      </c>
      <c r="E20" s="30"/>
      <c r="F20" s="31"/>
    </row>
    <row r="21" customFormat="false" ht="18" hidden="false" customHeight="true" outlineLevel="0" collapsed="false">
      <c r="A21" s="25" t="s">
        <v>66</v>
      </c>
      <c r="B21" s="25"/>
      <c r="C21" s="25"/>
      <c r="D21" s="25"/>
      <c r="E21" s="25"/>
      <c r="F21" s="25"/>
    </row>
    <row r="22" customFormat="false" ht="42" hidden="false" customHeight="true" outlineLevel="0" collapsed="false">
      <c r="A22" s="26" t="s">
        <v>67</v>
      </c>
      <c r="B22" s="27" t="s">
        <v>58</v>
      </c>
      <c r="C22" s="28" t="s">
        <v>68</v>
      </c>
      <c r="D22" s="29" t="n">
        <v>2.5</v>
      </c>
      <c r="E22" s="30"/>
      <c r="F22" s="31"/>
    </row>
    <row r="23" customFormat="false" ht="18" hidden="false" customHeight="true" outlineLevel="0" collapsed="false">
      <c r="A23" s="25" t="s">
        <v>69</v>
      </c>
      <c r="B23" s="25"/>
      <c r="C23" s="25"/>
      <c r="D23" s="25"/>
      <c r="E23" s="25"/>
      <c r="F23" s="25"/>
    </row>
    <row r="24" customFormat="false" ht="42" hidden="false" customHeight="true" outlineLevel="0" collapsed="false">
      <c r="A24" s="26" t="s">
        <v>70</v>
      </c>
      <c r="B24" s="27" t="s">
        <v>58</v>
      </c>
      <c r="C24" s="28" t="s">
        <v>71</v>
      </c>
      <c r="D24" s="29" t="n">
        <v>2.5</v>
      </c>
      <c r="E24" s="30"/>
      <c r="F24" s="31"/>
    </row>
    <row r="25" customFormat="false" ht="21.75" hidden="false" customHeight="true" outlineLevel="0" collapsed="false">
      <c r="A25" s="24" t="s">
        <v>72</v>
      </c>
      <c r="B25" s="24"/>
      <c r="C25" s="24"/>
      <c r="D25" s="24"/>
      <c r="E25" s="24"/>
      <c r="F25" s="24"/>
    </row>
    <row r="26" customFormat="false" ht="18" hidden="false" customHeight="true" outlineLevel="0" collapsed="false">
      <c r="A26" s="25" t="s">
        <v>73</v>
      </c>
      <c r="B26" s="25"/>
      <c r="C26" s="25"/>
      <c r="D26" s="25"/>
      <c r="E26" s="25"/>
      <c r="F26" s="25"/>
    </row>
    <row r="27" customFormat="false" ht="42" hidden="false" customHeight="true" outlineLevel="0" collapsed="false">
      <c r="A27" s="32" t="s">
        <v>74</v>
      </c>
      <c r="B27" s="27" t="s">
        <v>44</v>
      </c>
      <c r="C27" s="35" t="s">
        <v>75</v>
      </c>
      <c r="D27" s="33" t="n">
        <v>0.5</v>
      </c>
      <c r="E27" s="30"/>
      <c r="F27" s="31"/>
    </row>
    <row r="28" customFormat="false" ht="42" hidden="false" customHeight="true" outlineLevel="0" collapsed="false">
      <c r="A28" s="26" t="s">
        <v>74</v>
      </c>
      <c r="B28" s="27" t="s">
        <v>44</v>
      </c>
      <c r="C28" s="28" t="s">
        <v>76</v>
      </c>
      <c r="D28" s="29" t="n">
        <v>2.5</v>
      </c>
      <c r="E28" s="30"/>
      <c r="F28" s="31"/>
    </row>
    <row r="29" customFormat="false" ht="42" hidden="false" customHeight="true" outlineLevel="0" collapsed="false">
      <c r="A29" s="32" t="s">
        <v>74</v>
      </c>
      <c r="B29" s="34" t="s">
        <v>47</v>
      </c>
      <c r="C29" s="31" t="s">
        <v>77</v>
      </c>
      <c r="D29" s="33" t="n">
        <v>2.5</v>
      </c>
      <c r="E29" s="30"/>
      <c r="F29" s="31"/>
    </row>
    <row r="30" customFormat="false" ht="18" hidden="false" customHeight="true" outlineLevel="0" collapsed="false">
      <c r="A30" s="25" t="s">
        <v>78</v>
      </c>
      <c r="B30" s="25"/>
      <c r="C30" s="25"/>
      <c r="D30" s="25"/>
      <c r="E30" s="25"/>
      <c r="F30" s="25"/>
    </row>
    <row r="31" customFormat="false" ht="42" hidden="false" customHeight="true" outlineLevel="0" collapsed="false">
      <c r="A31" s="32" t="s">
        <v>79</v>
      </c>
      <c r="B31" s="27" t="s">
        <v>44</v>
      </c>
      <c r="C31" s="35" t="s">
        <v>80</v>
      </c>
      <c r="D31" s="33" t="n">
        <v>0.5</v>
      </c>
      <c r="E31" s="30"/>
      <c r="F31" s="31"/>
    </row>
    <row r="32" customFormat="false" ht="42" hidden="false" customHeight="true" outlineLevel="0" collapsed="false">
      <c r="A32" s="26" t="s">
        <v>79</v>
      </c>
      <c r="B32" s="27" t="s">
        <v>44</v>
      </c>
      <c r="C32" s="28" t="s">
        <v>81</v>
      </c>
      <c r="D32" s="29" t="n">
        <v>2.5</v>
      </c>
      <c r="E32" s="30"/>
      <c r="F32" s="31"/>
    </row>
    <row r="33" customFormat="false" ht="42" hidden="false" customHeight="true" outlineLevel="0" collapsed="false">
      <c r="A33" s="32" t="s">
        <v>79</v>
      </c>
      <c r="B33" s="34" t="s">
        <v>47</v>
      </c>
      <c r="C33" s="31" t="s">
        <v>82</v>
      </c>
      <c r="D33" s="33" t="n">
        <v>2</v>
      </c>
      <c r="E33" s="30"/>
      <c r="F33" s="31"/>
    </row>
    <row r="34" customFormat="false" ht="42" hidden="false" customHeight="true" outlineLevel="0" collapsed="false">
      <c r="A34" s="26" t="s">
        <v>79</v>
      </c>
      <c r="B34" s="34" t="s">
        <v>47</v>
      </c>
      <c r="C34" s="28" t="s">
        <v>83</v>
      </c>
      <c r="D34" s="29" t="n">
        <v>2</v>
      </c>
      <c r="E34" s="30"/>
      <c r="F34" s="31"/>
    </row>
    <row r="35" customFormat="false" ht="18" hidden="false" customHeight="true" outlineLevel="0" collapsed="false">
      <c r="A35" s="25" t="s">
        <v>84</v>
      </c>
      <c r="B35" s="25"/>
      <c r="C35" s="25"/>
      <c r="D35" s="25"/>
      <c r="E35" s="25"/>
      <c r="F35" s="25"/>
    </row>
    <row r="36" customFormat="false" ht="42" hidden="false" customHeight="true" outlineLevel="0" collapsed="false">
      <c r="A36" s="26" t="s">
        <v>85</v>
      </c>
      <c r="B36" s="27" t="s">
        <v>58</v>
      </c>
      <c r="C36" s="35" t="s">
        <v>86</v>
      </c>
      <c r="D36" s="29" t="n">
        <v>0.5</v>
      </c>
      <c r="E36" s="30"/>
      <c r="F36" s="31"/>
    </row>
    <row r="37" customFormat="false" ht="42" hidden="false" customHeight="true" outlineLevel="0" collapsed="false">
      <c r="A37" s="32" t="s">
        <v>85</v>
      </c>
      <c r="B37" s="27" t="s">
        <v>58</v>
      </c>
      <c r="C37" s="31" t="s">
        <v>87</v>
      </c>
      <c r="D37" s="33" t="n">
        <v>2</v>
      </c>
      <c r="E37" s="30"/>
      <c r="F37" s="31"/>
    </row>
    <row r="38" customFormat="false" ht="18" hidden="false" customHeight="true" outlineLevel="0" collapsed="false">
      <c r="A38" s="25" t="s">
        <v>88</v>
      </c>
      <c r="B38" s="25"/>
      <c r="C38" s="25"/>
      <c r="D38" s="25"/>
      <c r="E38" s="25"/>
      <c r="F38" s="25"/>
    </row>
    <row r="39" customFormat="false" ht="42" hidden="false" customHeight="true" outlineLevel="0" collapsed="false">
      <c r="A39" s="32" t="s">
        <v>89</v>
      </c>
      <c r="B39" s="27" t="s">
        <v>58</v>
      </c>
      <c r="C39" s="31" t="s">
        <v>90</v>
      </c>
      <c r="D39" s="33" t="n">
        <v>2.5</v>
      </c>
      <c r="E39" s="30"/>
      <c r="F39" s="31"/>
    </row>
    <row r="40" customFormat="false" ht="18" hidden="false" customHeight="true" outlineLevel="0" collapsed="false">
      <c r="A40" s="25" t="s">
        <v>91</v>
      </c>
      <c r="B40" s="25"/>
      <c r="C40" s="25"/>
      <c r="D40" s="25"/>
      <c r="E40" s="25"/>
      <c r="F40" s="25"/>
    </row>
    <row r="41" customFormat="false" ht="42" hidden="false" customHeight="true" outlineLevel="0" collapsed="false">
      <c r="A41" s="32" t="s">
        <v>92</v>
      </c>
      <c r="B41" s="27" t="s">
        <v>58</v>
      </c>
      <c r="C41" s="31" t="s">
        <v>93</v>
      </c>
      <c r="D41" s="33" t="n">
        <v>2.5</v>
      </c>
      <c r="E41" s="30"/>
      <c r="F41" s="31"/>
    </row>
    <row r="42" customFormat="false" ht="18" hidden="false" customHeight="true" outlineLevel="0" collapsed="false">
      <c r="A42" s="25" t="s">
        <v>94</v>
      </c>
      <c r="B42" s="25"/>
      <c r="C42" s="25"/>
      <c r="D42" s="25"/>
      <c r="E42" s="25"/>
      <c r="F42" s="25"/>
    </row>
    <row r="43" customFormat="false" ht="42" hidden="false" customHeight="true" outlineLevel="0" collapsed="false">
      <c r="A43" s="32" t="s">
        <v>95</v>
      </c>
      <c r="B43" s="27" t="s">
        <v>44</v>
      </c>
      <c r="C43" s="35" t="s">
        <v>96</v>
      </c>
      <c r="D43" s="33" t="n">
        <v>0.5</v>
      </c>
      <c r="E43" s="30"/>
      <c r="F43" s="31"/>
    </row>
    <row r="44" customFormat="false" ht="42" hidden="false" customHeight="true" outlineLevel="0" collapsed="false">
      <c r="A44" s="26" t="s">
        <v>95</v>
      </c>
      <c r="B44" s="27" t="s">
        <v>44</v>
      </c>
      <c r="C44" s="28" t="s">
        <v>97</v>
      </c>
      <c r="D44" s="29" t="n">
        <v>2.5</v>
      </c>
      <c r="E44" s="30"/>
      <c r="F44" s="31"/>
    </row>
    <row r="45" customFormat="false" ht="42" hidden="false" customHeight="true" outlineLevel="0" collapsed="false">
      <c r="A45" s="32" t="s">
        <v>95</v>
      </c>
      <c r="B45" s="34" t="s">
        <v>47</v>
      </c>
      <c r="C45" s="31" t="s">
        <v>98</v>
      </c>
      <c r="D45" s="33" t="n">
        <v>2</v>
      </c>
      <c r="E45" s="30"/>
      <c r="F45" s="31"/>
    </row>
    <row r="46" customFormat="false" ht="42" hidden="false" customHeight="true" outlineLevel="0" collapsed="false">
      <c r="A46" s="26" t="s">
        <v>95</v>
      </c>
      <c r="B46" s="34" t="s">
        <v>47</v>
      </c>
      <c r="C46" s="28" t="s">
        <v>99</v>
      </c>
      <c r="D46" s="29" t="n">
        <v>2.5</v>
      </c>
      <c r="E46" s="30"/>
      <c r="F46" s="31"/>
    </row>
    <row r="47" customFormat="false" ht="18" hidden="false" customHeight="true" outlineLevel="0" collapsed="false">
      <c r="A47" s="25" t="s">
        <v>100</v>
      </c>
      <c r="B47" s="25"/>
      <c r="C47" s="25"/>
      <c r="D47" s="25"/>
      <c r="E47" s="25"/>
      <c r="F47" s="25"/>
    </row>
    <row r="48" customFormat="false" ht="42" hidden="false" customHeight="true" outlineLevel="0" collapsed="false">
      <c r="A48" s="26" t="s">
        <v>101</v>
      </c>
      <c r="B48" s="27" t="s">
        <v>44</v>
      </c>
      <c r="C48" s="28" t="s">
        <v>102</v>
      </c>
      <c r="D48" s="29" t="n">
        <v>2</v>
      </c>
      <c r="E48" s="30"/>
      <c r="F48" s="31"/>
    </row>
    <row r="49" customFormat="false" ht="42" hidden="false" customHeight="true" outlineLevel="0" collapsed="false">
      <c r="A49" s="32" t="s">
        <v>101</v>
      </c>
      <c r="B49" s="27" t="s">
        <v>44</v>
      </c>
      <c r="C49" s="35" t="s">
        <v>103</v>
      </c>
      <c r="D49" s="33" t="n">
        <v>0.5</v>
      </c>
      <c r="E49" s="30"/>
      <c r="F49" s="31"/>
    </row>
    <row r="50" customFormat="false" ht="42" hidden="false" customHeight="true" outlineLevel="0" collapsed="false">
      <c r="A50" s="26" t="s">
        <v>101</v>
      </c>
      <c r="B50" s="34" t="s">
        <v>47</v>
      </c>
      <c r="C50" s="28" t="s">
        <v>104</v>
      </c>
      <c r="D50" s="29" t="n">
        <v>3</v>
      </c>
      <c r="E50" s="30"/>
      <c r="F50" s="31"/>
    </row>
    <row r="51" customFormat="false" ht="42" hidden="false" customHeight="true" outlineLevel="0" collapsed="false">
      <c r="A51" s="32" t="s">
        <v>101</v>
      </c>
      <c r="B51" s="34" t="s">
        <v>47</v>
      </c>
      <c r="C51" s="31" t="s">
        <v>105</v>
      </c>
      <c r="D51" s="33" t="n">
        <v>1.5</v>
      </c>
      <c r="E51" s="30"/>
      <c r="F51" s="31"/>
    </row>
    <row r="52" customFormat="false" ht="21.75" hidden="false" customHeight="true" outlineLevel="0" collapsed="false">
      <c r="A52" s="24" t="s">
        <v>106</v>
      </c>
      <c r="B52" s="24"/>
      <c r="C52" s="24"/>
      <c r="D52" s="24"/>
      <c r="E52" s="24"/>
      <c r="F52" s="24"/>
    </row>
    <row r="53" customFormat="false" ht="18" hidden="false" customHeight="true" outlineLevel="0" collapsed="false">
      <c r="A53" s="25" t="s">
        <v>107</v>
      </c>
      <c r="B53" s="25"/>
      <c r="C53" s="25"/>
      <c r="D53" s="25"/>
      <c r="E53" s="25"/>
      <c r="F53" s="25"/>
    </row>
    <row r="54" customFormat="false" ht="42" hidden="false" customHeight="true" outlineLevel="0" collapsed="false">
      <c r="A54" s="26" t="s">
        <v>108</v>
      </c>
      <c r="B54" s="27" t="s">
        <v>44</v>
      </c>
      <c r="C54" s="28" t="s">
        <v>109</v>
      </c>
      <c r="D54" s="29" t="n">
        <v>2.5</v>
      </c>
      <c r="E54" s="30"/>
      <c r="F54" s="31"/>
    </row>
    <row r="55" customFormat="false" ht="42" hidden="false" customHeight="true" outlineLevel="0" collapsed="false">
      <c r="A55" s="32" t="s">
        <v>108</v>
      </c>
      <c r="B55" s="34" t="s">
        <v>47</v>
      </c>
      <c r="C55" s="31" t="s">
        <v>110</v>
      </c>
      <c r="D55" s="33" t="n">
        <v>2.5</v>
      </c>
      <c r="E55" s="30"/>
      <c r="F55" s="31"/>
    </row>
    <row r="56" customFormat="false" ht="18" hidden="false" customHeight="true" outlineLevel="0" collapsed="false">
      <c r="A56" s="25" t="s">
        <v>111</v>
      </c>
      <c r="B56" s="25"/>
      <c r="C56" s="25"/>
      <c r="D56" s="25"/>
      <c r="E56" s="25"/>
      <c r="F56" s="25"/>
    </row>
    <row r="57" customFormat="false" ht="42" hidden="false" customHeight="true" outlineLevel="0" collapsed="false">
      <c r="A57" s="32" t="s">
        <v>112</v>
      </c>
      <c r="B57" s="27" t="s">
        <v>44</v>
      </c>
      <c r="C57" s="31" t="s">
        <v>113</v>
      </c>
      <c r="D57" s="33" t="n">
        <v>2.5</v>
      </c>
      <c r="E57" s="30"/>
      <c r="F57" s="31"/>
    </row>
    <row r="58" customFormat="false" ht="42" hidden="false" customHeight="true" outlineLevel="0" collapsed="false">
      <c r="A58" s="26" t="s">
        <v>112</v>
      </c>
      <c r="B58" s="34" t="s">
        <v>47</v>
      </c>
      <c r="C58" s="28" t="s">
        <v>114</v>
      </c>
      <c r="D58" s="29" t="n">
        <v>2</v>
      </c>
      <c r="E58" s="30"/>
      <c r="F58" s="31"/>
    </row>
    <row r="59" customFormat="false" ht="18" hidden="false" customHeight="true" outlineLevel="0" collapsed="false">
      <c r="A59" s="25" t="s">
        <v>115</v>
      </c>
      <c r="B59" s="25"/>
      <c r="C59" s="25"/>
      <c r="D59" s="25"/>
      <c r="E59" s="25"/>
      <c r="F59" s="25"/>
    </row>
    <row r="60" customFormat="false" ht="42" hidden="false" customHeight="true" outlineLevel="0" collapsed="false">
      <c r="A60" s="26" t="s">
        <v>116</v>
      </c>
      <c r="B60" s="27" t="s">
        <v>58</v>
      </c>
      <c r="C60" s="28" t="s">
        <v>117</v>
      </c>
      <c r="D60" s="29" t="n">
        <v>2.5</v>
      </c>
      <c r="E60" s="30"/>
      <c r="F60" s="31"/>
    </row>
    <row r="61" customFormat="false" ht="18" hidden="false" customHeight="true" outlineLevel="0" collapsed="false">
      <c r="A61" s="25" t="s">
        <v>118</v>
      </c>
      <c r="B61" s="25"/>
      <c r="C61" s="25"/>
      <c r="D61" s="25"/>
      <c r="E61" s="25"/>
      <c r="F61" s="25"/>
    </row>
    <row r="62" customFormat="false" ht="42" hidden="false" customHeight="true" outlineLevel="0" collapsed="false">
      <c r="A62" s="26" t="s">
        <v>119</v>
      </c>
      <c r="B62" s="27" t="s">
        <v>58</v>
      </c>
      <c r="C62" s="28" t="s">
        <v>120</v>
      </c>
      <c r="D62" s="29" t="n">
        <v>1.5</v>
      </c>
      <c r="E62" s="30"/>
      <c r="F62" s="31"/>
    </row>
    <row r="63" customFormat="false" ht="42" hidden="false" customHeight="true" outlineLevel="0" collapsed="false">
      <c r="A63" s="32" t="s">
        <v>119</v>
      </c>
      <c r="B63" s="27" t="s">
        <v>58</v>
      </c>
      <c r="C63" s="31" t="s">
        <v>121</v>
      </c>
      <c r="D63" s="33" t="n">
        <v>1</v>
      </c>
      <c r="E63" s="30"/>
      <c r="F63" s="31"/>
    </row>
    <row r="64" customFormat="false" ht="18" hidden="false" customHeight="true" outlineLevel="0" collapsed="false">
      <c r="A64" s="25" t="s">
        <v>122</v>
      </c>
      <c r="B64" s="25"/>
      <c r="C64" s="25"/>
      <c r="D64" s="25"/>
      <c r="E64" s="25"/>
      <c r="F64" s="25"/>
    </row>
    <row r="65" customFormat="false" ht="42" hidden="false" customHeight="true" outlineLevel="0" collapsed="false">
      <c r="A65" s="32" t="s">
        <v>123</v>
      </c>
      <c r="B65" s="27" t="s">
        <v>58</v>
      </c>
      <c r="C65" s="31" t="s">
        <v>124</v>
      </c>
      <c r="D65" s="33" t="n">
        <v>2.5</v>
      </c>
      <c r="E65" s="30"/>
      <c r="F65" s="31"/>
    </row>
    <row r="66" customFormat="false" ht="18" hidden="false" customHeight="true" outlineLevel="0" collapsed="false">
      <c r="A66" s="25" t="s">
        <v>125</v>
      </c>
      <c r="B66" s="25"/>
      <c r="C66" s="25"/>
      <c r="D66" s="25"/>
      <c r="E66" s="25"/>
      <c r="F66" s="25"/>
    </row>
    <row r="67" customFormat="false" ht="42" hidden="false" customHeight="true" outlineLevel="0" collapsed="false">
      <c r="A67" s="32" t="s">
        <v>126</v>
      </c>
      <c r="B67" s="27" t="s">
        <v>44</v>
      </c>
      <c r="C67" s="31" t="s">
        <v>127</v>
      </c>
      <c r="D67" s="33" t="n">
        <v>2</v>
      </c>
      <c r="E67" s="30"/>
      <c r="F67" s="31"/>
    </row>
    <row r="68" customFormat="false" ht="42" hidden="false" customHeight="true" outlineLevel="0" collapsed="false">
      <c r="A68" s="26" t="s">
        <v>126</v>
      </c>
      <c r="B68" s="27" t="s">
        <v>44</v>
      </c>
      <c r="C68" s="28" t="s">
        <v>128</v>
      </c>
      <c r="D68" s="29" t="n">
        <v>1</v>
      </c>
      <c r="E68" s="30"/>
      <c r="F68" s="31"/>
    </row>
    <row r="69" customFormat="false" ht="42" hidden="false" customHeight="true" outlineLevel="0" collapsed="false">
      <c r="A69" s="32" t="s">
        <v>126</v>
      </c>
      <c r="B69" s="34" t="s">
        <v>47</v>
      </c>
      <c r="C69" s="31" t="s">
        <v>129</v>
      </c>
      <c r="D69" s="33" t="n">
        <v>2</v>
      </c>
      <c r="E69" s="30"/>
      <c r="F69" s="31"/>
    </row>
    <row r="70" customFormat="false" ht="42" hidden="false" customHeight="true" outlineLevel="0" collapsed="false">
      <c r="A70" s="26" t="s">
        <v>126</v>
      </c>
      <c r="B70" s="34" t="s">
        <v>47</v>
      </c>
      <c r="C70" s="28" t="s">
        <v>130</v>
      </c>
      <c r="D70" s="29" t="n">
        <v>1</v>
      </c>
      <c r="E70" s="30"/>
      <c r="F70" s="31"/>
    </row>
    <row r="71" customFormat="false" ht="18" hidden="false" customHeight="true" outlineLevel="0" collapsed="false">
      <c r="A71" s="25" t="s">
        <v>131</v>
      </c>
      <c r="B71" s="25"/>
      <c r="C71" s="25"/>
      <c r="D71" s="25"/>
      <c r="E71" s="25"/>
      <c r="F71" s="25"/>
    </row>
    <row r="72" customFormat="false" ht="42" hidden="false" customHeight="true" outlineLevel="0" collapsed="false">
      <c r="A72" s="26" t="s">
        <v>132</v>
      </c>
      <c r="B72" s="27" t="s">
        <v>44</v>
      </c>
      <c r="C72" s="28" t="s">
        <v>133</v>
      </c>
      <c r="D72" s="29" t="n">
        <v>1.5</v>
      </c>
      <c r="E72" s="30"/>
      <c r="F72" s="31"/>
    </row>
    <row r="73" customFormat="false" ht="42" hidden="false" customHeight="true" outlineLevel="0" collapsed="false">
      <c r="A73" s="32" t="s">
        <v>132</v>
      </c>
      <c r="B73" s="27" t="s">
        <v>44</v>
      </c>
      <c r="C73" s="31" t="s">
        <v>134</v>
      </c>
      <c r="D73" s="33" t="n">
        <v>2.5</v>
      </c>
      <c r="E73" s="30"/>
      <c r="F73" s="31"/>
    </row>
    <row r="74" customFormat="false" ht="42" hidden="false" customHeight="true" outlineLevel="0" collapsed="false">
      <c r="A74" s="26" t="s">
        <v>132</v>
      </c>
      <c r="B74" s="34" t="s">
        <v>47</v>
      </c>
      <c r="C74" s="28" t="s">
        <v>135</v>
      </c>
      <c r="D74" s="29" t="n">
        <v>2</v>
      </c>
      <c r="E74" s="30"/>
      <c r="F74" s="31"/>
    </row>
    <row r="75" customFormat="false" ht="42" hidden="false" customHeight="true" outlineLevel="0" collapsed="false">
      <c r="A75" s="32" t="s">
        <v>132</v>
      </c>
      <c r="B75" s="34" t="s">
        <v>47</v>
      </c>
      <c r="C75" s="31" t="s">
        <v>136</v>
      </c>
      <c r="D75" s="33" t="n">
        <v>0.5</v>
      </c>
      <c r="E75" s="30"/>
      <c r="F75" s="31"/>
    </row>
    <row r="77" customFormat="false" ht="21.75" hidden="false" customHeight="true" outlineLevel="0" collapsed="false">
      <c r="A77" s="36" t="s">
        <v>137</v>
      </c>
      <c r="B77" s="36"/>
      <c r="C77" s="36"/>
      <c r="D77" s="36"/>
      <c r="E77" s="36"/>
      <c r="F77" s="36"/>
    </row>
    <row r="78" customFormat="false" ht="15" hidden="false" customHeight="false" outlineLevel="0" collapsed="false">
      <c r="A78" s="37"/>
      <c r="B78" s="37" t="s">
        <v>2</v>
      </c>
      <c r="C78" s="37" t="s">
        <v>138</v>
      </c>
      <c r="D78" s="37"/>
      <c r="E78" s="37"/>
      <c r="F78" s="37"/>
    </row>
    <row r="79" customFormat="false" ht="18" hidden="false" customHeight="true" outlineLevel="0" collapsed="false">
      <c r="A79" s="38"/>
      <c r="B79" s="39" t="s">
        <v>6</v>
      </c>
      <c r="C79" s="11" t="n">
        <f aca="false">COUNTA(E4:E76)+COUNTBLANK(E4:E76)-COUNTA(E4:E76)+48</f>
        <v>121</v>
      </c>
      <c r="D79" s="38"/>
      <c r="E79" s="38"/>
      <c r="F79" s="38"/>
    </row>
    <row r="80" customFormat="false" ht="18" hidden="false" customHeight="true" outlineLevel="0" collapsed="false">
      <c r="A80" s="40"/>
      <c r="B80" s="41" t="s">
        <v>25</v>
      </c>
      <c r="C80" s="42" t="n">
        <f aca="false">COUNTIF(E4:E76,"✅ Done")</f>
        <v>0</v>
      </c>
      <c r="D80" s="40"/>
      <c r="E80" s="40"/>
      <c r="F80" s="40"/>
    </row>
    <row r="81" customFormat="false" ht="18" hidden="false" customHeight="true" outlineLevel="0" collapsed="false">
      <c r="A81" s="43"/>
      <c r="B81" s="44" t="s">
        <v>27</v>
      </c>
      <c r="C81" s="45" t="n">
        <f aca="false">COUNTIF(E4:E76,"🔄 In Progress")</f>
        <v>0</v>
      </c>
      <c r="D81" s="43"/>
      <c r="E81" s="43"/>
      <c r="F81" s="43"/>
    </row>
    <row r="82" customFormat="false" ht="18" hidden="false" customHeight="true" outlineLevel="0" collapsed="false">
      <c r="A82" s="38"/>
      <c r="B82" s="39" t="s">
        <v>29</v>
      </c>
      <c r="C82" s="11" t="n">
        <f aca="false">COUNTIF(E4:E76,"⏭ Deferred")</f>
        <v>0</v>
      </c>
      <c r="D82" s="38"/>
      <c r="E82" s="38"/>
      <c r="F82" s="38"/>
    </row>
    <row r="83" customFormat="false" ht="18" hidden="false" customHeight="true" outlineLevel="0" collapsed="false">
      <c r="A83" s="46"/>
      <c r="B83" s="47" t="s">
        <v>31</v>
      </c>
      <c r="C83" s="48" t="n">
        <f aca="false">COUNTIF(E4:E76,"❌ Blocked")</f>
        <v>0</v>
      </c>
      <c r="D83" s="46"/>
      <c r="E83" s="46"/>
      <c r="F83" s="46"/>
    </row>
    <row r="84" customFormat="false" ht="18" hidden="false" customHeight="true" outlineLevel="0" collapsed="false">
      <c r="A84" s="38"/>
      <c r="B84" s="39" t="s">
        <v>139</v>
      </c>
      <c r="C84" s="49" t="n">
        <f aca="false">IFERROR(COUNTIF(E4:E76,"✅ Done")/48*100,0)</f>
        <v>0</v>
      </c>
      <c r="D84" s="38"/>
      <c r="E84" s="38"/>
      <c r="F84" s="38"/>
    </row>
  </sheetData>
  <autoFilter ref="A3:F3"/>
  <mergeCells count="27">
    <mergeCell ref="A1:F1"/>
    <mergeCell ref="A2:F2"/>
    <mergeCell ref="A4:F4"/>
    <mergeCell ref="A5:F5"/>
    <mergeCell ref="A10:F10"/>
    <mergeCell ref="A15:F15"/>
    <mergeCell ref="A17:F17"/>
    <mergeCell ref="A19:F19"/>
    <mergeCell ref="A21:F21"/>
    <mergeCell ref="A23:F23"/>
    <mergeCell ref="A25:F25"/>
    <mergeCell ref="A26:F26"/>
    <mergeCell ref="A30:F30"/>
    <mergeCell ref="A35:F35"/>
    <mergeCell ref="A38:F38"/>
    <mergeCell ref="A40:F40"/>
    <mergeCell ref="A42:F42"/>
    <mergeCell ref="A47:F47"/>
    <mergeCell ref="A52:F52"/>
    <mergeCell ref="A53:F53"/>
    <mergeCell ref="A56:F56"/>
    <mergeCell ref="A59:F59"/>
    <mergeCell ref="A61:F61"/>
    <mergeCell ref="A64:F64"/>
    <mergeCell ref="A66:F66"/>
    <mergeCell ref="A71:F71"/>
    <mergeCell ref="A77:F77"/>
  </mergeCells>
  <dataValidations count="1">
    <dataValidation allowBlank="true" errorStyle="stop" operator="between" showDropDown="false" showErrorMessage="false" showInputMessage="false" sqref="E6:E9 E11:E14 E16 E18 E20 E22 E24 E27:E29 E31:E34 E36:E37 E39 E41 E43:E46 E48:E51 E54:E55 E57:E58 E60 E62:E63 E65 E67:E70 E72:E75" type="list">
      <formula1>"✅ Done,🔄 In Progress,⏭ Deferred,❌ 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25.5" hidden="false" customHeight="true" outlineLevel="0" collapsed="false">
      <c r="A1" s="21" t="s">
        <v>140</v>
      </c>
      <c r="B1" s="21"/>
      <c r="C1" s="21"/>
      <c r="D1" s="21"/>
      <c r="E1" s="21"/>
      <c r="F1" s="21"/>
    </row>
    <row r="2" customFormat="false" ht="18" hidden="false" customHeight="true" outlineLevel="0" collapsed="false">
      <c r="A2" s="22" t="s">
        <v>34</v>
      </c>
      <c r="B2" s="22"/>
      <c r="C2" s="22"/>
      <c r="D2" s="22"/>
      <c r="E2" s="22"/>
      <c r="F2" s="22"/>
    </row>
    <row r="3" customFormat="false" ht="19.5" hidden="false" customHeight="true" outlineLevel="0" collapsed="false">
      <c r="A3" s="23" t="s">
        <v>35</v>
      </c>
      <c r="B3" s="23" t="s">
        <v>36</v>
      </c>
      <c r="C3" s="23" t="s">
        <v>37</v>
      </c>
      <c r="D3" s="23" t="s">
        <v>38</v>
      </c>
      <c r="E3" s="23" t="s">
        <v>39</v>
      </c>
      <c r="F3" s="23" t="s">
        <v>40</v>
      </c>
    </row>
    <row r="4" customFormat="false" ht="21.75" hidden="false" customHeight="true" outlineLevel="0" collapsed="false">
      <c r="A4" s="24" t="s">
        <v>41</v>
      </c>
      <c r="B4" s="24"/>
      <c r="C4" s="24"/>
      <c r="D4" s="24"/>
      <c r="E4" s="24"/>
      <c r="F4" s="24"/>
    </row>
    <row r="5" customFormat="false" ht="18" hidden="false" customHeight="true" outlineLevel="0" collapsed="false">
      <c r="A5" s="25" t="s">
        <v>42</v>
      </c>
      <c r="B5" s="25"/>
      <c r="C5" s="25"/>
      <c r="D5" s="25"/>
      <c r="E5" s="25"/>
      <c r="F5" s="25"/>
    </row>
    <row r="6" customFormat="false" ht="42" hidden="false" customHeight="true" outlineLevel="0" collapsed="false">
      <c r="A6" s="26" t="s">
        <v>43</v>
      </c>
      <c r="B6" s="50" t="s">
        <v>44</v>
      </c>
      <c r="C6" s="28" t="s">
        <v>141</v>
      </c>
      <c r="D6" s="29" t="n">
        <v>1.5</v>
      </c>
      <c r="E6" s="30"/>
      <c r="F6" s="31"/>
    </row>
    <row r="7" customFormat="false" ht="42" hidden="false" customHeight="true" outlineLevel="0" collapsed="false">
      <c r="A7" s="32" t="s">
        <v>43</v>
      </c>
      <c r="B7" s="50" t="s">
        <v>44</v>
      </c>
      <c r="C7" s="31" t="s">
        <v>142</v>
      </c>
      <c r="D7" s="33" t="n">
        <v>2</v>
      </c>
      <c r="E7" s="30"/>
      <c r="F7" s="31"/>
    </row>
    <row r="8" customFormat="false" ht="42" hidden="false" customHeight="true" outlineLevel="0" collapsed="false">
      <c r="A8" s="26" t="s">
        <v>43</v>
      </c>
      <c r="B8" s="50" t="s">
        <v>47</v>
      </c>
      <c r="C8" s="28" t="s">
        <v>143</v>
      </c>
      <c r="D8" s="29" t="n">
        <v>2.5</v>
      </c>
      <c r="E8" s="30"/>
      <c r="F8" s="31"/>
    </row>
    <row r="9" customFormat="false" ht="18" hidden="false" customHeight="true" outlineLevel="0" collapsed="false">
      <c r="A9" s="25" t="s">
        <v>50</v>
      </c>
      <c r="B9" s="25"/>
      <c r="C9" s="25"/>
      <c r="D9" s="25"/>
      <c r="E9" s="25"/>
      <c r="F9" s="25"/>
    </row>
    <row r="10" customFormat="false" ht="42" hidden="false" customHeight="true" outlineLevel="0" collapsed="false">
      <c r="A10" s="26" t="s">
        <v>51</v>
      </c>
      <c r="B10" s="50" t="s">
        <v>44</v>
      </c>
      <c r="C10" s="28" t="s">
        <v>144</v>
      </c>
      <c r="D10" s="29" t="n">
        <v>2.5</v>
      </c>
      <c r="E10" s="30"/>
      <c r="F10" s="31"/>
    </row>
    <row r="11" customFormat="false" ht="42" hidden="false" customHeight="true" outlineLevel="0" collapsed="false">
      <c r="A11" s="32" t="s">
        <v>51</v>
      </c>
      <c r="B11" s="50" t="s">
        <v>44</v>
      </c>
      <c r="C11" s="31" t="s">
        <v>145</v>
      </c>
      <c r="D11" s="33" t="n">
        <v>1.5</v>
      </c>
      <c r="E11" s="30"/>
      <c r="F11" s="31"/>
    </row>
    <row r="12" customFormat="false" ht="42" hidden="false" customHeight="true" outlineLevel="0" collapsed="false">
      <c r="A12" s="26" t="s">
        <v>51</v>
      </c>
      <c r="B12" s="50" t="s">
        <v>47</v>
      </c>
      <c r="C12" s="35" t="s">
        <v>146</v>
      </c>
      <c r="D12" s="29" t="n">
        <v>0.5</v>
      </c>
      <c r="E12" s="30"/>
      <c r="F12" s="31"/>
    </row>
    <row r="13" customFormat="false" ht="42" hidden="false" customHeight="true" outlineLevel="0" collapsed="false">
      <c r="A13" s="32" t="s">
        <v>51</v>
      </c>
      <c r="B13" s="50" t="s">
        <v>47</v>
      </c>
      <c r="C13" s="31" t="s">
        <v>147</v>
      </c>
      <c r="D13" s="33" t="n">
        <v>1.5</v>
      </c>
      <c r="E13" s="30"/>
      <c r="F13" s="31"/>
    </row>
    <row r="14" customFormat="false" ht="18" hidden="false" customHeight="true" outlineLevel="0" collapsed="false">
      <c r="A14" s="25" t="s">
        <v>56</v>
      </c>
      <c r="B14" s="25"/>
      <c r="C14" s="25"/>
      <c r="D14" s="25"/>
      <c r="E14" s="25"/>
      <c r="F14" s="25"/>
    </row>
    <row r="15" customFormat="false" ht="42" hidden="false" customHeight="true" outlineLevel="0" collapsed="false">
      <c r="A15" s="32" t="s">
        <v>57</v>
      </c>
      <c r="B15" s="50" t="s">
        <v>58</v>
      </c>
      <c r="C15" s="31" t="s">
        <v>148</v>
      </c>
      <c r="D15" s="33" t="n">
        <v>2.5</v>
      </c>
      <c r="E15" s="30"/>
      <c r="F15" s="31"/>
    </row>
    <row r="16" customFormat="false" ht="18" hidden="false" customHeight="true" outlineLevel="0" collapsed="false">
      <c r="A16" s="25" t="s">
        <v>60</v>
      </c>
      <c r="B16" s="25"/>
      <c r="C16" s="25"/>
      <c r="D16" s="25"/>
      <c r="E16" s="25"/>
      <c r="F16" s="25"/>
    </row>
    <row r="17" customFormat="false" ht="42" hidden="false" customHeight="true" outlineLevel="0" collapsed="false">
      <c r="A17" s="32" t="s">
        <v>61</v>
      </c>
      <c r="B17" s="50" t="s">
        <v>58</v>
      </c>
      <c r="C17" s="31" t="s">
        <v>149</v>
      </c>
      <c r="D17" s="33" t="n">
        <v>2.5</v>
      </c>
      <c r="E17" s="30"/>
      <c r="F17" s="31"/>
    </row>
    <row r="18" customFormat="false" ht="18" hidden="false" customHeight="true" outlineLevel="0" collapsed="false">
      <c r="A18" s="25" t="s">
        <v>63</v>
      </c>
      <c r="B18" s="25"/>
      <c r="C18" s="25"/>
      <c r="D18" s="25"/>
      <c r="E18" s="25"/>
      <c r="F18" s="25"/>
    </row>
    <row r="19" customFormat="false" ht="42" hidden="false" customHeight="true" outlineLevel="0" collapsed="false">
      <c r="A19" s="32" t="s">
        <v>64</v>
      </c>
      <c r="B19" s="50" t="s">
        <v>58</v>
      </c>
      <c r="C19" s="31" t="s">
        <v>150</v>
      </c>
      <c r="D19" s="33" t="n">
        <v>2.5</v>
      </c>
      <c r="E19" s="30"/>
      <c r="F19" s="31"/>
    </row>
    <row r="20" customFormat="false" ht="18" hidden="false" customHeight="true" outlineLevel="0" collapsed="false">
      <c r="A20" s="25" t="s">
        <v>66</v>
      </c>
      <c r="B20" s="25"/>
      <c r="C20" s="25"/>
      <c r="D20" s="25"/>
      <c r="E20" s="25"/>
      <c r="F20" s="25"/>
    </row>
    <row r="21" customFormat="false" ht="42" hidden="false" customHeight="true" outlineLevel="0" collapsed="false">
      <c r="A21" s="32" t="s">
        <v>67</v>
      </c>
      <c r="B21" s="50" t="s">
        <v>58</v>
      </c>
      <c r="C21" s="31" t="s">
        <v>151</v>
      </c>
      <c r="D21" s="33" t="n">
        <v>2.5</v>
      </c>
      <c r="E21" s="30"/>
      <c r="F21" s="31"/>
    </row>
    <row r="22" customFormat="false" ht="18" hidden="false" customHeight="true" outlineLevel="0" collapsed="false">
      <c r="A22" s="25" t="s">
        <v>69</v>
      </c>
      <c r="B22" s="25"/>
      <c r="C22" s="25"/>
      <c r="D22" s="25"/>
      <c r="E22" s="25"/>
      <c r="F22" s="25"/>
    </row>
    <row r="23" customFormat="false" ht="42" hidden="false" customHeight="true" outlineLevel="0" collapsed="false">
      <c r="A23" s="32" t="s">
        <v>70</v>
      </c>
      <c r="B23" s="50" t="s">
        <v>58</v>
      </c>
      <c r="C23" s="31" t="s">
        <v>152</v>
      </c>
      <c r="D23" s="33" t="n">
        <v>2.5</v>
      </c>
      <c r="E23" s="30"/>
      <c r="F23" s="31"/>
    </row>
    <row r="24" customFormat="false" ht="21.75" hidden="false" customHeight="true" outlineLevel="0" collapsed="false">
      <c r="A24" s="24" t="s">
        <v>72</v>
      </c>
      <c r="B24" s="24"/>
      <c r="C24" s="24"/>
      <c r="D24" s="24"/>
      <c r="E24" s="24"/>
      <c r="F24" s="24"/>
    </row>
    <row r="25" customFormat="false" ht="18" hidden="false" customHeight="true" outlineLevel="0" collapsed="false">
      <c r="A25" s="25" t="s">
        <v>73</v>
      </c>
      <c r="B25" s="25"/>
      <c r="C25" s="25"/>
      <c r="D25" s="25"/>
      <c r="E25" s="25"/>
      <c r="F25" s="25"/>
    </row>
    <row r="26" customFormat="false" ht="42" hidden="false" customHeight="true" outlineLevel="0" collapsed="false">
      <c r="A26" s="26" t="s">
        <v>74</v>
      </c>
      <c r="B26" s="50" t="s">
        <v>44</v>
      </c>
      <c r="C26" s="35" t="s">
        <v>153</v>
      </c>
      <c r="D26" s="29" t="n">
        <v>0.5</v>
      </c>
      <c r="E26" s="30"/>
      <c r="F26" s="31"/>
    </row>
    <row r="27" customFormat="false" ht="42" hidden="false" customHeight="true" outlineLevel="0" collapsed="false">
      <c r="A27" s="32" t="s">
        <v>74</v>
      </c>
      <c r="B27" s="50" t="s">
        <v>44</v>
      </c>
      <c r="C27" s="31" t="s">
        <v>154</v>
      </c>
      <c r="D27" s="33" t="n">
        <v>2.5</v>
      </c>
      <c r="E27" s="30"/>
      <c r="F27" s="31"/>
    </row>
    <row r="28" customFormat="false" ht="42" hidden="false" customHeight="true" outlineLevel="0" collapsed="false">
      <c r="A28" s="26" t="s">
        <v>74</v>
      </c>
      <c r="B28" s="50" t="s">
        <v>47</v>
      </c>
      <c r="C28" s="28" t="s">
        <v>155</v>
      </c>
      <c r="D28" s="29" t="n">
        <v>3.5</v>
      </c>
      <c r="E28" s="30"/>
      <c r="F28" s="31"/>
    </row>
    <row r="29" customFormat="false" ht="18" hidden="false" customHeight="true" outlineLevel="0" collapsed="false">
      <c r="A29" s="25" t="s">
        <v>78</v>
      </c>
      <c r="B29" s="25"/>
      <c r="C29" s="25"/>
      <c r="D29" s="25"/>
      <c r="E29" s="25"/>
      <c r="F29" s="25"/>
    </row>
    <row r="30" customFormat="false" ht="42" hidden="false" customHeight="true" outlineLevel="0" collapsed="false">
      <c r="A30" s="26" t="s">
        <v>79</v>
      </c>
      <c r="B30" s="50" t="s">
        <v>44</v>
      </c>
      <c r="C30" s="35" t="s">
        <v>156</v>
      </c>
      <c r="D30" s="29" t="n">
        <v>0.5</v>
      </c>
      <c r="E30" s="30"/>
      <c r="F30" s="31"/>
    </row>
    <row r="31" customFormat="false" ht="42" hidden="false" customHeight="true" outlineLevel="0" collapsed="false">
      <c r="A31" s="32" t="s">
        <v>79</v>
      </c>
      <c r="B31" s="50" t="s">
        <v>44</v>
      </c>
      <c r="C31" s="31" t="s">
        <v>157</v>
      </c>
      <c r="D31" s="33" t="n">
        <v>3</v>
      </c>
      <c r="E31" s="30"/>
      <c r="F31" s="31"/>
    </row>
    <row r="32" customFormat="false" ht="42" hidden="false" customHeight="true" outlineLevel="0" collapsed="false">
      <c r="A32" s="26" t="s">
        <v>79</v>
      </c>
      <c r="B32" s="50" t="s">
        <v>47</v>
      </c>
      <c r="C32" s="28" t="s">
        <v>158</v>
      </c>
      <c r="D32" s="29" t="n">
        <v>2</v>
      </c>
      <c r="E32" s="30"/>
      <c r="F32" s="31"/>
    </row>
    <row r="33" customFormat="false" ht="42" hidden="false" customHeight="true" outlineLevel="0" collapsed="false">
      <c r="A33" s="32" t="s">
        <v>79</v>
      </c>
      <c r="B33" s="50" t="s">
        <v>47</v>
      </c>
      <c r="C33" s="31" t="s">
        <v>159</v>
      </c>
      <c r="D33" s="33" t="n">
        <v>1.5</v>
      </c>
      <c r="E33" s="30"/>
      <c r="F33" s="31"/>
    </row>
    <row r="34" customFormat="false" ht="18" hidden="false" customHeight="true" outlineLevel="0" collapsed="false">
      <c r="A34" s="25" t="s">
        <v>84</v>
      </c>
      <c r="B34" s="25"/>
      <c r="C34" s="25"/>
      <c r="D34" s="25"/>
      <c r="E34" s="25"/>
      <c r="F34" s="25"/>
    </row>
    <row r="35" customFormat="false" ht="42" hidden="false" customHeight="true" outlineLevel="0" collapsed="false">
      <c r="A35" s="32" t="s">
        <v>85</v>
      </c>
      <c r="B35" s="50" t="s">
        <v>58</v>
      </c>
      <c r="C35" s="35" t="s">
        <v>160</v>
      </c>
      <c r="D35" s="33" t="n">
        <v>0.5</v>
      </c>
      <c r="E35" s="30"/>
      <c r="F35" s="31"/>
    </row>
    <row r="36" customFormat="false" ht="42" hidden="false" customHeight="true" outlineLevel="0" collapsed="false">
      <c r="A36" s="26" t="s">
        <v>85</v>
      </c>
      <c r="B36" s="50" t="s">
        <v>58</v>
      </c>
      <c r="C36" s="28" t="s">
        <v>161</v>
      </c>
      <c r="D36" s="29" t="n">
        <v>2</v>
      </c>
      <c r="E36" s="30"/>
      <c r="F36" s="31"/>
    </row>
    <row r="37" customFormat="false" ht="18" hidden="false" customHeight="true" outlineLevel="0" collapsed="false">
      <c r="A37" s="25" t="s">
        <v>88</v>
      </c>
      <c r="B37" s="25"/>
      <c r="C37" s="25"/>
      <c r="D37" s="25"/>
      <c r="E37" s="25"/>
      <c r="F37" s="25"/>
    </row>
    <row r="38" customFormat="false" ht="42" hidden="false" customHeight="true" outlineLevel="0" collapsed="false">
      <c r="A38" s="26" t="s">
        <v>89</v>
      </c>
      <c r="B38" s="50" t="s">
        <v>58</v>
      </c>
      <c r="C38" s="28" t="s">
        <v>162</v>
      </c>
      <c r="D38" s="29" t="n">
        <v>2.5</v>
      </c>
      <c r="E38" s="30"/>
      <c r="F38" s="31"/>
    </row>
    <row r="39" customFormat="false" ht="18" hidden="false" customHeight="true" outlineLevel="0" collapsed="false">
      <c r="A39" s="25" t="s">
        <v>91</v>
      </c>
      <c r="B39" s="25"/>
      <c r="C39" s="25"/>
      <c r="D39" s="25"/>
      <c r="E39" s="25"/>
      <c r="F39" s="25"/>
    </row>
    <row r="40" customFormat="false" ht="42" hidden="false" customHeight="true" outlineLevel="0" collapsed="false">
      <c r="A40" s="26" t="s">
        <v>92</v>
      </c>
      <c r="B40" s="50" t="s">
        <v>58</v>
      </c>
      <c r="C40" s="28" t="s">
        <v>163</v>
      </c>
      <c r="D40" s="29" t="n">
        <v>2.5</v>
      </c>
      <c r="E40" s="30"/>
      <c r="F40" s="31"/>
    </row>
    <row r="41" customFormat="false" ht="18" hidden="false" customHeight="true" outlineLevel="0" collapsed="false">
      <c r="A41" s="25" t="s">
        <v>94</v>
      </c>
      <c r="B41" s="25"/>
      <c r="C41" s="25"/>
      <c r="D41" s="25"/>
      <c r="E41" s="25"/>
      <c r="F41" s="25"/>
    </row>
    <row r="42" customFormat="false" ht="42" hidden="false" customHeight="true" outlineLevel="0" collapsed="false">
      <c r="A42" s="26" t="s">
        <v>95</v>
      </c>
      <c r="B42" s="50" t="s">
        <v>44</v>
      </c>
      <c r="C42" s="35" t="s">
        <v>164</v>
      </c>
      <c r="D42" s="29" t="n">
        <v>0.5</v>
      </c>
      <c r="E42" s="30"/>
      <c r="F42" s="31"/>
    </row>
    <row r="43" customFormat="false" ht="42" hidden="false" customHeight="true" outlineLevel="0" collapsed="false">
      <c r="A43" s="32" t="s">
        <v>95</v>
      </c>
      <c r="B43" s="50" t="s">
        <v>44</v>
      </c>
      <c r="C43" s="31" t="s">
        <v>165</v>
      </c>
      <c r="D43" s="33" t="n">
        <v>2.5</v>
      </c>
      <c r="E43" s="30"/>
      <c r="F43" s="31"/>
    </row>
    <row r="44" customFormat="false" ht="42" hidden="false" customHeight="true" outlineLevel="0" collapsed="false">
      <c r="A44" s="26" t="s">
        <v>95</v>
      </c>
      <c r="B44" s="50" t="s">
        <v>47</v>
      </c>
      <c r="C44" s="28" t="s">
        <v>166</v>
      </c>
      <c r="D44" s="29" t="n">
        <v>2</v>
      </c>
      <c r="E44" s="30"/>
      <c r="F44" s="31"/>
    </row>
    <row r="45" customFormat="false" ht="42" hidden="false" customHeight="true" outlineLevel="0" collapsed="false">
      <c r="A45" s="32" t="s">
        <v>95</v>
      </c>
      <c r="B45" s="50" t="s">
        <v>47</v>
      </c>
      <c r="C45" s="31" t="s">
        <v>167</v>
      </c>
      <c r="D45" s="33" t="n">
        <v>2.5</v>
      </c>
      <c r="E45" s="30"/>
      <c r="F45" s="31"/>
    </row>
    <row r="46" customFormat="false" ht="18" hidden="false" customHeight="true" outlineLevel="0" collapsed="false">
      <c r="A46" s="25" t="s">
        <v>100</v>
      </c>
      <c r="B46" s="25"/>
      <c r="C46" s="25"/>
      <c r="D46" s="25"/>
      <c r="E46" s="25"/>
      <c r="F46" s="25"/>
    </row>
    <row r="47" customFormat="false" ht="42" hidden="false" customHeight="true" outlineLevel="0" collapsed="false">
      <c r="A47" s="32" t="s">
        <v>101</v>
      </c>
      <c r="B47" s="50" t="s">
        <v>44</v>
      </c>
      <c r="C47" s="31" t="s">
        <v>168</v>
      </c>
      <c r="D47" s="33" t="n">
        <v>3.5</v>
      </c>
      <c r="E47" s="30"/>
      <c r="F47" s="31"/>
    </row>
    <row r="48" customFormat="false" ht="42" hidden="false" customHeight="true" outlineLevel="0" collapsed="false">
      <c r="A48" s="26" t="s">
        <v>101</v>
      </c>
      <c r="B48" s="50" t="s">
        <v>47</v>
      </c>
      <c r="C48" s="28" t="s">
        <v>169</v>
      </c>
      <c r="D48" s="29" t="n">
        <v>2</v>
      </c>
      <c r="E48" s="30"/>
      <c r="F48" s="31"/>
    </row>
    <row r="49" customFormat="false" ht="42" hidden="false" customHeight="true" outlineLevel="0" collapsed="false">
      <c r="A49" s="32" t="s">
        <v>101</v>
      </c>
      <c r="B49" s="50" t="s">
        <v>47</v>
      </c>
      <c r="C49" s="31" t="s">
        <v>170</v>
      </c>
      <c r="D49" s="33" t="n">
        <v>3.5</v>
      </c>
      <c r="E49" s="30"/>
      <c r="F49" s="31"/>
    </row>
    <row r="50" customFormat="false" ht="21.75" hidden="false" customHeight="true" outlineLevel="0" collapsed="false">
      <c r="A50" s="24" t="s">
        <v>106</v>
      </c>
      <c r="B50" s="24"/>
      <c r="C50" s="24"/>
      <c r="D50" s="24"/>
      <c r="E50" s="24"/>
      <c r="F50" s="24"/>
    </row>
    <row r="51" customFormat="false" ht="18" hidden="false" customHeight="true" outlineLevel="0" collapsed="false">
      <c r="A51" s="25" t="s">
        <v>107</v>
      </c>
      <c r="B51" s="25"/>
      <c r="C51" s="25"/>
      <c r="D51" s="25"/>
      <c r="E51" s="25"/>
      <c r="F51" s="25"/>
    </row>
    <row r="52" customFormat="false" ht="42" hidden="false" customHeight="true" outlineLevel="0" collapsed="false">
      <c r="A52" s="26" t="s">
        <v>108</v>
      </c>
      <c r="B52" s="50" t="s">
        <v>44</v>
      </c>
      <c r="C52" s="28" t="s">
        <v>171</v>
      </c>
      <c r="D52" s="29" t="n">
        <v>2.5</v>
      </c>
      <c r="E52" s="30"/>
      <c r="F52" s="31"/>
    </row>
    <row r="53" customFormat="false" ht="42" hidden="false" customHeight="true" outlineLevel="0" collapsed="false">
      <c r="A53" s="32" t="s">
        <v>108</v>
      </c>
      <c r="B53" s="50" t="s">
        <v>47</v>
      </c>
      <c r="C53" s="31" t="s">
        <v>172</v>
      </c>
      <c r="D53" s="33" t="n">
        <v>2.5</v>
      </c>
      <c r="E53" s="30"/>
      <c r="F53" s="31"/>
    </row>
    <row r="54" customFormat="false" ht="18" hidden="false" customHeight="true" outlineLevel="0" collapsed="false">
      <c r="A54" s="25" t="s">
        <v>111</v>
      </c>
      <c r="B54" s="25"/>
      <c r="C54" s="25"/>
      <c r="D54" s="25"/>
      <c r="E54" s="25"/>
      <c r="F54" s="25"/>
    </row>
    <row r="55" customFormat="false" ht="42" hidden="false" customHeight="true" outlineLevel="0" collapsed="false">
      <c r="A55" s="32" t="s">
        <v>112</v>
      </c>
      <c r="B55" s="50" t="s">
        <v>44</v>
      </c>
      <c r="C55" s="31" t="s">
        <v>173</v>
      </c>
      <c r="D55" s="33" t="n">
        <v>2</v>
      </c>
      <c r="E55" s="30"/>
      <c r="F55" s="31"/>
    </row>
    <row r="56" customFormat="false" ht="42" hidden="false" customHeight="true" outlineLevel="0" collapsed="false">
      <c r="A56" s="26" t="s">
        <v>112</v>
      </c>
      <c r="B56" s="50" t="s">
        <v>47</v>
      </c>
      <c r="C56" s="28" t="s">
        <v>174</v>
      </c>
      <c r="D56" s="29" t="n">
        <v>2.5</v>
      </c>
      <c r="E56" s="30"/>
      <c r="F56" s="31"/>
    </row>
    <row r="57" customFormat="false" ht="18" hidden="false" customHeight="true" outlineLevel="0" collapsed="false">
      <c r="A57" s="25" t="s">
        <v>115</v>
      </c>
      <c r="B57" s="25"/>
      <c r="C57" s="25"/>
      <c r="D57" s="25"/>
      <c r="E57" s="25"/>
      <c r="F57" s="25"/>
    </row>
    <row r="58" customFormat="false" ht="42" hidden="false" customHeight="true" outlineLevel="0" collapsed="false">
      <c r="A58" s="26" t="s">
        <v>116</v>
      </c>
      <c r="B58" s="50" t="s">
        <v>58</v>
      </c>
      <c r="C58" s="28" t="s">
        <v>175</v>
      </c>
      <c r="D58" s="29" t="n">
        <v>2.5</v>
      </c>
      <c r="E58" s="30"/>
      <c r="F58" s="31"/>
    </row>
    <row r="59" customFormat="false" ht="18" hidden="false" customHeight="true" outlineLevel="0" collapsed="false">
      <c r="A59" s="25" t="s">
        <v>118</v>
      </c>
      <c r="B59" s="25"/>
      <c r="C59" s="25"/>
      <c r="D59" s="25"/>
      <c r="E59" s="25"/>
      <c r="F59" s="25"/>
    </row>
    <row r="60" customFormat="false" ht="42" hidden="false" customHeight="true" outlineLevel="0" collapsed="false">
      <c r="A60" s="26" t="s">
        <v>119</v>
      </c>
      <c r="B60" s="50" t="s">
        <v>58</v>
      </c>
      <c r="C60" s="28" t="s">
        <v>176</v>
      </c>
      <c r="D60" s="29" t="n">
        <v>2</v>
      </c>
      <c r="E60" s="30"/>
      <c r="F60" s="31"/>
    </row>
    <row r="61" customFormat="false" ht="18" hidden="false" customHeight="true" outlineLevel="0" collapsed="false">
      <c r="A61" s="25" t="s">
        <v>122</v>
      </c>
      <c r="B61" s="25"/>
      <c r="C61" s="25"/>
      <c r="D61" s="25"/>
      <c r="E61" s="25"/>
      <c r="F61" s="25"/>
    </row>
    <row r="62" customFormat="false" ht="42" hidden="false" customHeight="true" outlineLevel="0" collapsed="false">
      <c r="A62" s="26" t="s">
        <v>123</v>
      </c>
      <c r="B62" s="50" t="s">
        <v>58</v>
      </c>
      <c r="C62" s="28" t="s">
        <v>177</v>
      </c>
      <c r="D62" s="29" t="n">
        <v>1.5</v>
      </c>
      <c r="E62" s="30"/>
      <c r="F62" s="31"/>
    </row>
    <row r="63" customFormat="false" ht="42" hidden="false" customHeight="true" outlineLevel="0" collapsed="false">
      <c r="A63" s="32" t="s">
        <v>123</v>
      </c>
      <c r="B63" s="50" t="s">
        <v>58</v>
      </c>
      <c r="C63" s="31" t="s">
        <v>178</v>
      </c>
      <c r="D63" s="33" t="n">
        <v>1.5</v>
      </c>
      <c r="E63" s="30"/>
      <c r="F63" s="31"/>
    </row>
    <row r="64" customFormat="false" ht="18" hidden="false" customHeight="true" outlineLevel="0" collapsed="false">
      <c r="A64" s="25" t="s">
        <v>125</v>
      </c>
      <c r="B64" s="25"/>
      <c r="C64" s="25"/>
      <c r="D64" s="25"/>
      <c r="E64" s="25"/>
      <c r="F64" s="25"/>
    </row>
    <row r="65" customFormat="false" ht="42" hidden="false" customHeight="true" outlineLevel="0" collapsed="false">
      <c r="A65" s="32" t="s">
        <v>126</v>
      </c>
      <c r="B65" s="50" t="s">
        <v>44</v>
      </c>
      <c r="C65" s="31" t="s">
        <v>179</v>
      </c>
      <c r="D65" s="33" t="n">
        <v>2.5</v>
      </c>
      <c r="E65" s="30"/>
      <c r="F65" s="31"/>
    </row>
    <row r="66" customFormat="false" ht="42" hidden="false" customHeight="true" outlineLevel="0" collapsed="false">
      <c r="A66" s="26" t="s">
        <v>126</v>
      </c>
      <c r="B66" s="50" t="s">
        <v>47</v>
      </c>
      <c r="C66" s="28" t="s">
        <v>180</v>
      </c>
      <c r="D66" s="29" t="n">
        <v>2</v>
      </c>
      <c r="E66" s="30"/>
      <c r="F66" s="31"/>
    </row>
    <row r="67" customFormat="false" ht="18" hidden="false" customHeight="true" outlineLevel="0" collapsed="false">
      <c r="A67" s="25" t="s">
        <v>131</v>
      </c>
      <c r="B67" s="25"/>
      <c r="C67" s="25"/>
      <c r="D67" s="25"/>
      <c r="E67" s="25"/>
      <c r="F67" s="25"/>
    </row>
    <row r="68" customFormat="false" ht="42" hidden="false" customHeight="true" outlineLevel="0" collapsed="false">
      <c r="A68" s="26" t="s">
        <v>132</v>
      </c>
      <c r="B68" s="50" t="s">
        <v>44</v>
      </c>
      <c r="C68" s="28" t="s">
        <v>181</v>
      </c>
      <c r="D68" s="29" t="n">
        <v>2</v>
      </c>
      <c r="E68" s="30"/>
      <c r="F68" s="31"/>
    </row>
    <row r="69" customFormat="false" ht="42" hidden="false" customHeight="true" outlineLevel="0" collapsed="false">
      <c r="A69" s="32" t="s">
        <v>132</v>
      </c>
      <c r="B69" s="50" t="s">
        <v>47</v>
      </c>
      <c r="C69" s="31" t="s">
        <v>182</v>
      </c>
      <c r="D69" s="33" t="n">
        <v>0.5</v>
      </c>
      <c r="E69" s="30"/>
      <c r="F69" s="31"/>
    </row>
    <row r="71" customFormat="false" ht="21.75" hidden="false" customHeight="true" outlineLevel="0" collapsed="false">
      <c r="A71" s="36" t="s">
        <v>137</v>
      </c>
      <c r="B71" s="36"/>
      <c r="C71" s="36"/>
      <c r="D71" s="36"/>
      <c r="E71" s="36"/>
      <c r="F71" s="36"/>
    </row>
    <row r="72" customFormat="false" ht="15" hidden="false" customHeight="false" outlineLevel="0" collapsed="false">
      <c r="A72" s="37"/>
      <c r="B72" s="37" t="s">
        <v>2</v>
      </c>
      <c r="C72" s="37" t="s">
        <v>138</v>
      </c>
      <c r="D72" s="37"/>
      <c r="E72" s="37"/>
      <c r="F72" s="37"/>
    </row>
    <row r="73" customFormat="false" ht="18" hidden="false" customHeight="true" outlineLevel="0" collapsed="false">
      <c r="A73" s="38"/>
      <c r="B73" s="39" t="s">
        <v>6</v>
      </c>
      <c r="C73" s="11" t="n">
        <f aca="false">COUNTA(E4:E70)+COUNTBLANK(E4:E70)-COUNTA(E4:E70)+42</f>
        <v>109</v>
      </c>
      <c r="D73" s="38"/>
      <c r="E73" s="38"/>
      <c r="F73" s="38"/>
    </row>
    <row r="74" customFormat="false" ht="18" hidden="false" customHeight="true" outlineLevel="0" collapsed="false">
      <c r="A74" s="40"/>
      <c r="B74" s="41" t="s">
        <v>25</v>
      </c>
      <c r="C74" s="42" t="n">
        <f aca="false">COUNTIF(E4:E70,"✅ Done")</f>
        <v>0</v>
      </c>
      <c r="D74" s="40"/>
      <c r="E74" s="40"/>
      <c r="F74" s="40"/>
    </row>
    <row r="75" customFormat="false" ht="18" hidden="false" customHeight="true" outlineLevel="0" collapsed="false">
      <c r="A75" s="43"/>
      <c r="B75" s="44" t="s">
        <v>27</v>
      </c>
      <c r="C75" s="45" t="n">
        <f aca="false">COUNTIF(E4:E70,"🔄 In Progress")</f>
        <v>0</v>
      </c>
      <c r="D75" s="43"/>
      <c r="E75" s="43"/>
      <c r="F75" s="43"/>
    </row>
    <row r="76" customFormat="false" ht="18" hidden="false" customHeight="true" outlineLevel="0" collapsed="false">
      <c r="A76" s="38"/>
      <c r="B76" s="39" t="s">
        <v>29</v>
      </c>
      <c r="C76" s="11" t="n">
        <f aca="false">COUNTIF(E4:E70,"⏭ Deferred")</f>
        <v>0</v>
      </c>
      <c r="D76" s="38"/>
      <c r="E76" s="38"/>
      <c r="F76" s="38"/>
    </row>
    <row r="77" customFormat="false" ht="18" hidden="false" customHeight="true" outlineLevel="0" collapsed="false">
      <c r="A77" s="46"/>
      <c r="B77" s="47" t="s">
        <v>31</v>
      </c>
      <c r="C77" s="48" t="n">
        <f aca="false">COUNTIF(E4:E70,"❌ Blocked")</f>
        <v>0</v>
      </c>
      <c r="D77" s="46"/>
      <c r="E77" s="46"/>
      <c r="F77" s="46"/>
    </row>
    <row r="78" customFormat="false" ht="18" hidden="false" customHeight="true" outlineLevel="0" collapsed="false">
      <c r="A78" s="38"/>
      <c r="B78" s="39" t="s">
        <v>139</v>
      </c>
      <c r="C78" s="49" t="n">
        <f aca="false">IFERROR(COUNTIF(E4:E70,"✅ Done")/42*100,0)</f>
        <v>0</v>
      </c>
      <c r="D78" s="38"/>
      <c r="E78" s="38"/>
      <c r="F78" s="38"/>
    </row>
  </sheetData>
  <autoFilter ref="A3:F3"/>
  <mergeCells count="27">
    <mergeCell ref="A1:F1"/>
    <mergeCell ref="A2:F2"/>
    <mergeCell ref="A4:F4"/>
    <mergeCell ref="A5:F5"/>
    <mergeCell ref="A9:F9"/>
    <mergeCell ref="A14:F14"/>
    <mergeCell ref="A16:F16"/>
    <mergeCell ref="A18:F18"/>
    <mergeCell ref="A20:F20"/>
    <mergeCell ref="A22:F22"/>
    <mergeCell ref="A24:F24"/>
    <mergeCell ref="A25:F25"/>
    <mergeCell ref="A29:F29"/>
    <mergeCell ref="A34:F34"/>
    <mergeCell ref="A37:F37"/>
    <mergeCell ref="A39:F39"/>
    <mergeCell ref="A41:F41"/>
    <mergeCell ref="A46:F46"/>
    <mergeCell ref="A50:F50"/>
    <mergeCell ref="A51:F51"/>
    <mergeCell ref="A54:F54"/>
    <mergeCell ref="A57:F57"/>
    <mergeCell ref="A59:F59"/>
    <mergeCell ref="A61:F61"/>
    <mergeCell ref="A64:F64"/>
    <mergeCell ref="A67:F67"/>
    <mergeCell ref="A71:F71"/>
  </mergeCells>
  <dataValidations count="1">
    <dataValidation allowBlank="true" errorStyle="stop" operator="between" showDropDown="false" showErrorMessage="false" showInputMessage="false" sqref="E6:E8 E10:E13 E15 E17 E19 E21 E23 E26:E28 E30:E33 E35:E36 E38 E40 E42:E45 E47:E49 E52:E53 E55:E56 E58 E60 E62:E63 E65:E66 E68:E69" type="list">
      <formula1>"✅ Done,🔄 In Progress,⏭ Deferred,❌ 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2026-06-26T06:39:42Z</dcterms:created>
  <dc:creator>openpyxl</dc:creator>
  <dc:description/>
  <dc:language>en-US</dc:language>
  <cp:lastModifiedBy/>
  <dcterms:modified xsi:type="dcterms:W3CDTF">2026-06-26T06:39:42Z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